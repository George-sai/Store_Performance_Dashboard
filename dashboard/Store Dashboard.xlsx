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tore_Performance_Dashboard\dashboard\"/>
    </mc:Choice>
  </mc:AlternateContent>
  <xr:revisionPtr revIDLastSave="0" documentId="13_ncr:1_{35B81AC2-9FC6-488A-A068-461926B1B7C3}" xr6:coauthVersionLast="47" xr6:coauthVersionMax="47" xr10:uidLastSave="{00000000-0000-0000-0000-000000000000}"/>
  <bookViews>
    <workbookView xWindow="-108" yWindow="-108" windowWidth="23256" windowHeight="13176" xr2:uid="{6D06CE9C-7B3C-41EE-94FC-DEEDC6D35F26}"/>
  </bookViews>
  <sheets>
    <sheet name="DashBoard" sheetId="1" r:id="rId1"/>
    <sheet name="Receipts_Data" sheetId="2" r:id="rId2"/>
    <sheet name="Issuance" sheetId="3" r:id="rId3"/>
    <sheet name="Branch" sheetId="4" r:id="rId4"/>
  </sheets>
  <definedNames>
    <definedName name="_Active_Branches">Branch!$M$2</definedName>
    <definedName name="_xlnm._FilterDatabase" localSheetId="1" hidden="1">Receipts_Data!$A$1:$A$16</definedName>
    <definedName name="Total_Items_Issued">Issuance!$M$2</definedName>
    <definedName name="Total_Items_Received">Receipts_Data!$O$2</definedName>
    <definedName name="Total_Units">Receipts_Data!$G$24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6" i="2"/>
  <c r="D11" i="2"/>
  <c r="D13" i="2"/>
  <c r="C3" i="2"/>
  <c r="C4" i="2"/>
  <c r="D4" i="2" s="1"/>
  <c r="C5" i="2"/>
  <c r="C6" i="2"/>
  <c r="C7" i="2"/>
  <c r="C8" i="2"/>
  <c r="C9" i="2"/>
  <c r="C10" i="2"/>
  <c r="C11" i="2"/>
  <c r="C12" i="2"/>
  <c r="C13" i="2"/>
  <c r="C14" i="2"/>
  <c r="D14" i="2" s="1"/>
  <c r="C15" i="2"/>
  <c r="C16" i="2"/>
  <c r="C2" i="2"/>
  <c r="B3" i="2"/>
  <c r="B4" i="2"/>
  <c r="B5" i="2"/>
  <c r="D5" i="2" s="1"/>
  <c r="B6" i="2"/>
  <c r="B7" i="2"/>
  <c r="D7" i="2" s="1"/>
  <c r="B8" i="2"/>
  <c r="D8" i="2" s="1"/>
  <c r="B9" i="2"/>
  <c r="D9" i="2" s="1"/>
  <c r="B10" i="2"/>
  <c r="D10" i="2" s="1"/>
  <c r="B11" i="2"/>
  <c r="B12" i="2"/>
  <c r="B13" i="2"/>
  <c r="B14" i="2"/>
  <c r="B15" i="2"/>
  <c r="D15" i="2" s="1"/>
  <c r="B16" i="2"/>
  <c r="D16" i="2" s="1"/>
  <c r="B2" i="2"/>
  <c r="D2" i="2" s="1"/>
  <c r="A1" i="2" a="1"/>
  <c r="A1" i="2" s="1"/>
  <c r="D1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<sst xmlns="http://schemas.openxmlformats.org/spreadsheetml/2006/main" count="313" uniqueCount="134">
  <si>
    <t>Receipt ID</t>
  </si>
  <si>
    <t>Item Name</t>
  </si>
  <si>
    <t>Category</t>
  </si>
  <si>
    <t>Qty Received</t>
  </si>
  <si>
    <t>Unit</t>
  </si>
  <si>
    <t>Receipt Date</t>
  </si>
  <si>
    <t>Supplier</t>
  </si>
  <si>
    <t>Unit Cost (NGN)</t>
  </si>
  <si>
    <t>Total Cost (NGN)</t>
  </si>
  <si>
    <t>Notes</t>
  </si>
  <si>
    <t>PACK-002</t>
  </si>
  <si>
    <t>Meal Boxes (Small)</t>
  </si>
  <si>
    <t>Packaging</t>
  </si>
  <si>
    <t>Pcs</t>
  </si>
  <si>
    <t>PackPro</t>
  </si>
  <si>
    <t>PACK-001</t>
  </si>
  <si>
    <t>Meal Boxes (Large)</t>
  </si>
  <si>
    <t>NAPK-001</t>
  </si>
  <si>
    <t>Napkins (Pack)</t>
  </si>
  <si>
    <t>Misc</t>
  </si>
  <si>
    <t>Packs</t>
  </si>
  <si>
    <t>CleanSupply</t>
  </si>
  <si>
    <t>CHKN-001</t>
  </si>
  <si>
    <t>Whole Chicken (Frozen)</t>
  </si>
  <si>
    <t>Protein</t>
  </si>
  <si>
    <t>KG</t>
  </si>
  <si>
    <t>FarmFresh Ltd</t>
  </si>
  <si>
    <t>FLOUR-001</t>
  </si>
  <si>
    <t>Frying Flour</t>
  </si>
  <si>
    <t>Dry Goods</t>
  </si>
  <si>
    <t>MillersBest</t>
  </si>
  <si>
    <t>CHKN-002</t>
  </si>
  <si>
    <t>Chicken Breast</t>
  </si>
  <si>
    <t>CHKN-003</t>
  </si>
  <si>
    <t>Chicken Wings</t>
  </si>
  <si>
    <t>PoultryKing</t>
  </si>
  <si>
    <t>ICE-001</t>
  </si>
  <si>
    <t>Ice Blocks</t>
  </si>
  <si>
    <t>Bags</t>
  </si>
  <si>
    <t>IcePlant</t>
  </si>
  <si>
    <t>OIL-001</t>
  </si>
  <si>
    <t>Frying Oil (Palm)</t>
  </si>
  <si>
    <t>Cooking</t>
  </si>
  <si>
    <t>Litres</t>
  </si>
  <si>
    <t>OilMart</t>
  </si>
  <si>
    <t>VEG-001</t>
  </si>
  <si>
    <t>Coleslaw Cabbage</t>
  </si>
  <si>
    <t>Vegetable</t>
  </si>
  <si>
    <t>FreshFarm</t>
  </si>
  <si>
    <t>DRINK-001</t>
  </si>
  <si>
    <t>Soft Drinks (Crate)</t>
  </si>
  <si>
    <t>Beverage</t>
  </si>
  <si>
    <t>Crates</t>
  </si>
  <si>
    <t>BevCo</t>
  </si>
  <si>
    <t>SPCE-001</t>
  </si>
  <si>
    <t>Seasoning Mix A</t>
  </si>
  <si>
    <t>Seasoning</t>
  </si>
  <si>
    <t>SpiceWorld</t>
  </si>
  <si>
    <t>SPCE-002</t>
  </si>
  <si>
    <t>Pepper (Ground)</t>
  </si>
  <si>
    <t>SAUCE-001</t>
  </si>
  <si>
    <t>Hot Sauce</t>
  </si>
  <si>
    <t>Condiment</t>
  </si>
  <si>
    <t>SauceHouse</t>
  </si>
  <si>
    <t>GAS-001</t>
  </si>
  <si>
    <t>LPG Gas Cylinder</t>
  </si>
  <si>
    <t>Utilities</t>
  </si>
  <si>
    <t>Units</t>
  </si>
  <si>
    <t>GasPlus</t>
  </si>
  <si>
    <t>Issuance ID</t>
  </si>
  <si>
    <t>Qty Issued</t>
  </si>
  <si>
    <t>Issue Date</t>
  </si>
  <si>
    <t>Department</t>
  </si>
  <si>
    <t>Issued By</t>
  </si>
  <si>
    <t>Authorized By</t>
  </si>
  <si>
    <t>ISS-015</t>
  </si>
  <si>
    <t>Counter - Ikeja</t>
  </si>
  <si>
    <t>Emeka O.</t>
  </si>
  <si>
    <t>Manager C</t>
  </si>
  <si>
    <t>ISS-006</t>
  </si>
  <si>
    <t>Counter - VI</t>
  </si>
  <si>
    <t>Bola T.</t>
  </si>
  <si>
    <t>Manager B</t>
  </si>
  <si>
    <t>ISS-001</t>
  </si>
  <si>
    <t>Kitchen - Lekki</t>
  </si>
  <si>
    <t>Ade John</t>
  </si>
  <si>
    <t>Manager A</t>
  </si>
  <si>
    <t>ISS-005</t>
  </si>
  <si>
    <t>Kitchen - Ikeja</t>
  </si>
  <si>
    <t>ISS-004</t>
  </si>
  <si>
    <t>ISS-014</t>
  </si>
  <si>
    <t>ISS-002</t>
  </si>
  <si>
    <t>Kitchen - VI</t>
  </si>
  <si>
    <t>ISS-010</t>
  </si>
  <si>
    <t>ISS-009</t>
  </si>
  <si>
    <t>ISS-008</t>
  </si>
  <si>
    <t>Counter - Lekki</t>
  </si>
  <si>
    <t>ISS-011</t>
  </si>
  <si>
    <t>Counter - Surulere</t>
  </si>
  <si>
    <t>Chidi K.</t>
  </si>
  <si>
    <t>ISS-013</t>
  </si>
  <si>
    <t>ISS-003</t>
  </si>
  <si>
    <t>Kitchen - Surulere</t>
  </si>
  <si>
    <t>ISS-007</t>
  </si>
  <si>
    <t>ISS-012</t>
  </si>
  <si>
    <t>Branch Name</t>
  </si>
  <si>
    <t>Date</t>
  </si>
  <si>
    <t>Lekki</t>
  </si>
  <si>
    <t>Ikeja</t>
  </si>
  <si>
    <t>Victoria Island</t>
  </si>
  <si>
    <t>Surulere</t>
  </si>
  <si>
    <t>Ajah</t>
  </si>
  <si>
    <t>Tunde F.</t>
  </si>
  <si>
    <t>Yaba</t>
  </si>
  <si>
    <t>Kemi S.</t>
  </si>
  <si>
    <t>Maryland</t>
  </si>
  <si>
    <t>Dayo R.</t>
  </si>
  <si>
    <t>Ikorodu</t>
  </si>
  <si>
    <t>Nkem P.</t>
  </si>
  <si>
    <t>Badagry</t>
  </si>
  <si>
    <t>Seun M.</t>
  </si>
  <si>
    <t>Festac</t>
  </si>
  <si>
    <t>Lanre A.</t>
  </si>
  <si>
    <t>Sum of Qty Received</t>
  </si>
  <si>
    <t>Sum of Qty Issued</t>
  </si>
  <si>
    <t>Row Labels</t>
  </si>
  <si>
    <t>Grand Total</t>
  </si>
  <si>
    <t>Total Items Received</t>
  </si>
  <si>
    <t>Total Items Issued</t>
  </si>
  <si>
    <t>Active Branches</t>
  </si>
  <si>
    <t>Sum of Unit Cost (NGN)</t>
  </si>
  <si>
    <t>Received</t>
  </si>
  <si>
    <t>Issued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</si>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</sst>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A889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numFmt numFmtId="19" formatCode="m/d/yyyy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3 2" pivot="0" table="0" count="10" xr9:uid="{3F75DDD6-4FB2-4B84-B2D4-3BC29D3D0030}">
      <tableStyleElement type="wholeTable" dxfId="4"/>
      <tableStyleElement type="headerRow" dxfId="3"/>
    </tableStyle>
  </tableStyles>
  <colors>
    <mruColors>
      <color rgb="FFC8001A"/>
      <color rgb="FFCC2200"/>
      <color rgb="FFFEBCBD"/>
      <color rgb="FFFE908F"/>
      <color rgb="FFFF6B6B"/>
      <color rgb="FFE83838"/>
      <color rgb="FF8A8895"/>
      <color rgb="FF1C1C1C"/>
      <color rgb="FFFF5050"/>
      <color rgb="FF1D1D1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sz val="9"/>
            <color theme="0"/>
          </font>
          <fill>
            <patternFill patternType="solid">
              <fgColor theme="2" tint="-0.499984740745262"/>
              <bgColor rgb="FFC00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sz val="9"/>
            <color theme="0" tint="-0.14996795556505021"/>
          </font>
          <fill>
            <patternFill patternType="solid">
              <fgColor rgb="FFC0C0C0"/>
              <bgColor rgb="FF1C1C1C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[Store Dashboard.xlsx]Receipts_Data!PivotTable20</c:name>
    <c:fmtId val="5"/>
  </c:pivotSource>
  <c:chart>
    <c:autoTitleDeleted val="1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CC22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bg1">
              <a:lumMod val="85000"/>
              <a:alpha val="62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</c:pivotFmts>
    <c:plotArea>
      <c:layout>
        <c:manualLayout>
          <c:layoutTarget val="inner"/>
          <c:xMode val="edge"/>
          <c:yMode val="edge"/>
          <c:x val="0.24922999192406012"/>
          <c:y val="0.12925757660132034"/>
          <c:w val="0.65780862413780283"/>
          <c:h val="0.83684423375649475"/>
        </c:manualLayout>
      </c:layout>
      <c:barChart>
        <c:barDir val="bar"/>
        <c:grouping val="stacked"/>
        <c:varyColors val="1"/>
        <c:ser>
          <c:idx val="0"/>
          <c:order val="0"/>
          <c:tx>
            <c:strRef>
              <c:f>Receipts_Data!$B$17</c:f>
              <c:strCache>
                <c:ptCount val="1"/>
                <c:pt idx="0">
                  <c:v>Sum of Qty Received</c:v>
                </c:pt>
              </c:strCache>
            </c:strRef>
          </c:tx>
          <c:spPr>
            <a:solidFill>
              <a:srgbClr val="CC2200"/>
            </a:solidFill>
            <a:ln>
              <a:noFill/>
            </a:ln>
            <a:effectLst/>
          </c:spPr>
          <c:invertIfNegative val="0"/>
          <c:cat>
            <c:strRef>
              <c:f>Receipts_Data!$A$18:$A$28</c:f>
              <c:strCache>
                <c:ptCount val="10"/>
                <c:pt idx="0">
                  <c:v>Chicken Breast</c:v>
                </c:pt>
                <c:pt idx="1">
                  <c:v>Chicken Wings</c:v>
                </c:pt>
                <c:pt idx="2">
                  <c:v>Coleslaw Cabbage</c:v>
                </c:pt>
                <c:pt idx="3">
                  <c:v>Frying Flour</c:v>
                </c:pt>
                <c:pt idx="4">
                  <c:v>Frying Oil (Palm)</c:v>
                </c:pt>
                <c:pt idx="5">
                  <c:v>Ice Blocks</c:v>
                </c:pt>
                <c:pt idx="6">
                  <c:v>Meal Boxes (Large)</c:v>
                </c:pt>
                <c:pt idx="7">
                  <c:v>Meal Boxes (Small)</c:v>
                </c:pt>
                <c:pt idx="8">
                  <c:v>Napkins (Pack)</c:v>
                </c:pt>
                <c:pt idx="9">
                  <c:v>Whole Chicken (Frozen)</c:v>
                </c:pt>
              </c:strCache>
            </c:strRef>
          </c:cat>
          <c:val>
            <c:numRef>
              <c:f>Receipts_Data!$B$18:$B$28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120</c:v>
                </c:pt>
                <c:pt idx="3">
                  <c:v>400</c:v>
                </c:pt>
                <c:pt idx="4">
                  <c:v>150</c:v>
                </c:pt>
                <c:pt idx="5">
                  <c:v>200</c:v>
                </c:pt>
                <c:pt idx="6">
                  <c:v>2000</c:v>
                </c:pt>
                <c:pt idx="7">
                  <c:v>3000</c:v>
                </c:pt>
                <c:pt idx="8">
                  <c:v>500</c:v>
                </c:pt>
                <c:pt idx="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6-471D-8335-320A28B2FC72}"/>
            </c:ext>
          </c:extLst>
        </c:ser>
        <c:ser>
          <c:idx val="1"/>
          <c:order val="1"/>
          <c:tx>
            <c:strRef>
              <c:f>Receipts_Data!$C$17</c:f>
              <c:strCache>
                <c:ptCount val="1"/>
                <c:pt idx="0">
                  <c:v>Sum of Unit Cost (NGN)</c:v>
                </c:pt>
              </c:strCache>
            </c:strRef>
          </c:tx>
          <c:spPr>
            <a:solidFill>
              <a:schemeClr val="bg1">
                <a:lumMod val="85000"/>
                <a:alpha val="62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</c:spPr>
          <c:invertIfNegative val="0"/>
          <c:cat>
            <c:strRef>
              <c:f>Receipts_Data!$A$18:$A$28</c:f>
              <c:strCache>
                <c:ptCount val="10"/>
                <c:pt idx="0">
                  <c:v>Chicken Breast</c:v>
                </c:pt>
                <c:pt idx="1">
                  <c:v>Chicken Wings</c:v>
                </c:pt>
                <c:pt idx="2">
                  <c:v>Coleslaw Cabbage</c:v>
                </c:pt>
                <c:pt idx="3">
                  <c:v>Frying Flour</c:v>
                </c:pt>
                <c:pt idx="4">
                  <c:v>Frying Oil (Palm)</c:v>
                </c:pt>
                <c:pt idx="5">
                  <c:v>Ice Blocks</c:v>
                </c:pt>
                <c:pt idx="6">
                  <c:v>Meal Boxes (Large)</c:v>
                </c:pt>
                <c:pt idx="7">
                  <c:v>Meal Boxes (Small)</c:v>
                </c:pt>
                <c:pt idx="8">
                  <c:v>Napkins (Pack)</c:v>
                </c:pt>
                <c:pt idx="9">
                  <c:v>Whole Chicken (Frozen)</c:v>
                </c:pt>
              </c:strCache>
            </c:strRef>
          </c:cat>
          <c:val>
            <c:numRef>
              <c:f>Receipts_Data!$C$18:$C$28</c:f>
              <c:numCache>
                <c:formatCode>General</c:formatCode>
                <c:ptCount val="10"/>
                <c:pt idx="0">
                  <c:v>1800</c:v>
                </c:pt>
                <c:pt idx="1">
                  <c:v>1500</c:v>
                </c:pt>
                <c:pt idx="2">
                  <c:v>400</c:v>
                </c:pt>
                <c:pt idx="3">
                  <c:v>800</c:v>
                </c:pt>
                <c:pt idx="4">
                  <c:v>900</c:v>
                </c:pt>
                <c:pt idx="5">
                  <c:v>500</c:v>
                </c:pt>
                <c:pt idx="6">
                  <c:v>100</c:v>
                </c:pt>
                <c:pt idx="7">
                  <c:v>150</c:v>
                </c:pt>
                <c:pt idx="8">
                  <c:v>250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6-471D-8335-320A28B2F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403654608"/>
        <c:axId val="1403639248"/>
      </c:barChart>
      <c:catAx>
        <c:axId val="140365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39248"/>
        <c:crosses val="autoZero"/>
        <c:auto val="1"/>
        <c:lblAlgn val="ctr"/>
        <c:lblOffset val="100"/>
        <c:noMultiLvlLbl val="0"/>
      </c:catAx>
      <c:valAx>
        <c:axId val="1403639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365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[Store Dashboard.xlsx]Issuance!PivotTable4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22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C2200"/>
          </a:solidFill>
          <a:ln>
            <a:noFill/>
          </a:ln>
          <a:effectLst/>
        </c:spPr>
      </c:pivotFmt>
      <c:pivotFmt>
        <c:idx val="7"/>
        <c:spPr>
          <a:solidFill>
            <a:srgbClr val="CC2200"/>
          </a:solidFill>
          <a:ln>
            <a:noFill/>
          </a:ln>
          <a:effectLst/>
        </c:spPr>
      </c:pivotFmt>
      <c:pivotFmt>
        <c:idx val="8"/>
        <c:spPr>
          <a:solidFill>
            <a:srgbClr val="CC2200"/>
          </a:solidFill>
          <a:ln>
            <a:noFill/>
          </a:ln>
          <a:effectLst/>
        </c:spPr>
      </c:pivotFmt>
      <c:pivotFmt>
        <c:idx val="9"/>
        <c:spPr>
          <a:solidFill>
            <a:srgbClr val="CC2200"/>
          </a:solidFill>
          <a:ln>
            <a:noFill/>
          </a:ln>
          <a:effectLst/>
        </c:spPr>
      </c:pivotFmt>
      <c:pivotFmt>
        <c:idx val="10"/>
        <c:spPr>
          <a:solidFill>
            <a:srgbClr val="CC2200"/>
          </a:solidFill>
          <a:ln>
            <a:noFill/>
          </a:ln>
          <a:effectLst/>
        </c:spPr>
      </c:pivotFmt>
      <c:pivotFmt>
        <c:idx val="11"/>
        <c:spPr>
          <a:solidFill>
            <a:srgbClr val="CC2200"/>
          </a:solidFill>
          <a:ln>
            <a:noFill/>
          </a:ln>
          <a:effectLst/>
        </c:spPr>
      </c:pivotFmt>
      <c:pivotFmt>
        <c:idx val="12"/>
        <c:spPr>
          <a:solidFill>
            <a:srgbClr val="CC2200"/>
          </a:solidFill>
          <a:ln>
            <a:noFill/>
          </a:ln>
          <a:effectLst/>
        </c:spPr>
      </c:pivotFmt>
      <c:pivotFmt>
        <c:idx val="13"/>
        <c:spPr>
          <a:solidFill>
            <a:srgbClr val="CC2200"/>
          </a:solidFill>
          <a:ln>
            <a:noFill/>
          </a:ln>
          <a:effectLst/>
        </c:spPr>
      </c:pivotFmt>
      <c:pivotFmt>
        <c:idx val="14"/>
        <c:spPr>
          <a:solidFill>
            <a:srgbClr val="CC2200"/>
          </a:solidFill>
          <a:ln>
            <a:noFill/>
          </a:ln>
          <a:effectLst/>
        </c:spPr>
      </c:pivotFmt>
      <c:pivotFmt>
        <c:idx val="15"/>
        <c:spPr>
          <a:solidFill>
            <a:srgbClr val="CC22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098900292067368E-3"/>
          <c:y val="0"/>
          <c:w val="0.95202493741692584"/>
          <c:h val="0.67877583773662731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Issuance!$B$17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22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B7-4037-B1BB-4EA9FD8E99A2}"/>
              </c:ext>
            </c:extLst>
          </c:dPt>
          <c:dPt>
            <c:idx val="1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B7-4037-B1BB-4EA9FD8E99A2}"/>
              </c:ext>
            </c:extLst>
          </c:dPt>
          <c:dPt>
            <c:idx val="2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B7-4037-B1BB-4EA9FD8E99A2}"/>
              </c:ext>
            </c:extLst>
          </c:dPt>
          <c:dPt>
            <c:idx val="3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B7-4037-B1BB-4EA9FD8E99A2}"/>
              </c:ext>
            </c:extLst>
          </c:dPt>
          <c:dPt>
            <c:idx val="4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B7-4037-B1BB-4EA9FD8E99A2}"/>
              </c:ext>
            </c:extLst>
          </c:dPt>
          <c:dPt>
            <c:idx val="5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B7-4037-B1BB-4EA9FD8E99A2}"/>
              </c:ext>
            </c:extLst>
          </c:dPt>
          <c:dPt>
            <c:idx val="6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1B7-4037-B1BB-4EA9FD8E99A2}"/>
              </c:ext>
            </c:extLst>
          </c:dPt>
          <c:dPt>
            <c:idx val="7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1B7-4037-B1BB-4EA9FD8E99A2}"/>
              </c:ext>
            </c:extLst>
          </c:dPt>
          <c:dPt>
            <c:idx val="8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1B7-4037-B1BB-4EA9FD8E99A2}"/>
              </c:ext>
            </c:extLst>
          </c:dPt>
          <c:dPt>
            <c:idx val="9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1B7-4037-B1BB-4EA9FD8E99A2}"/>
              </c:ext>
            </c:extLst>
          </c:dPt>
          <c:cat>
            <c:strRef>
              <c:f>Issuance!$A$18:$A$28</c:f>
              <c:strCache>
                <c:ptCount val="10"/>
                <c:pt idx="0">
                  <c:v>Chicken Breast</c:v>
                </c:pt>
                <c:pt idx="1">
                  <c:v>Chicken Wings</c:v>
                </c:pt>
                <c:pt idx="2">
                  <c:v>Coleslaw Cabbage</c:v>
                </c:pt>
                <c:pt idx="3">
                  <c:v>Frying Flour</c:v>
                </c:pt>
                <c:pt idx="4">
                  <c:v>Frying Oil (Palm)</c:v>
                </c:pt>
                <c:pt idx="5">
                  <c:v>Ice Blocks</c:v>
                </c:pt>
                <c:pt idx="6">
                  <c:v>Meal Boxes (Large)</c:v>
                </c:pt>
                <c:pt idx="7">
                  <c:v>Meal Boxes (Small)</c:v>
                </c:pt>
                <c:pt idx="8">
                  <c:v>Napkins (Pack)</c:v>
                </c:pt>
                <c:pt idx="9">
                  <c:v>Whole Chicken (Frozen)</c:v>
                </c:pt>
              </c:strCache>
            </c:strRef>
          </c:cat>
          <c:val>
            <c:numRef>
              <c:f>Issuance!$B$18:$B$28</c:f>
              <c:numCache>
                <c:formatCode>General</c:formatCode>
                <c:ptCount val="10"/>
                <c:pt idx="0">
                  <c:v>75</c:v>
                </c:pt>
                <c:pt idx="1">
                  <c:v>80</c:v>
                </c:pt>
                <c:pt idx="2">
                  <c:v>30</c:v>
                </c:pt>
                <c:pt idx="3">
                  <c:v>100</c:v>
                </c:pt>
                <c:pt idx="4">
                  <c:v>40</c:v>
                </c:pt>
                <c:pt idx="5">
                  <c:v>50</c:v>
                </c:pt>
                <c:pt idx="6">
                  <c:v>600</c:v>
                </c:pt>
                <c:pt idx="7">
                  <c:v>800</c:v>
                </c:pt>
                <c:pt idx="8">
                  <c:v>150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9-4277-9F7D-7BBFE88E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7854128"/>
        <c:axId val="857876688"/>
      </c:barChart>
      <c:catAx>
        <c:axId val="85785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76688"/>
        <c:crosses val="autoZero"/>
        <c:auto val="1"/>
        <c:lblAlgn val="ctr"/>
        <c:lblOffset val="100"/>
        <c:noMultiLvlLbl val="0"/>
      </c:catAx>
      <c:valAx>
        <c:axId val="8578766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785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Dashboard.xlsx]Branch!PivotTable21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22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C2200"/>
          </a:solidFill>
          <a:ln>
            <a:noFill/>
          </a:ln>
          <a:effectLst/>
        </c:spPr>
      </c:pivotFmt>
      <c:pivotFmt>
        <c:idx val="4"/>
        <c:spPr>
          <a:solidFill>
            <a:srgbClr val="CC2200"/>
          </a:solidFill>
          <a:ln>
            <a:noFill/>
          </a:ln>
          <a:effectLst/>
        </c:spPr>
      </c:pivotFmt>
      <c:pivotFmt>
        <c:idx val="5"/>
        <c:spPr>
          <a:solidFill>
            <a:srgbClr val="CC2200"/>
          </a:solidFill>
          <a:ln>
            <a:noFill/>
          </a:ln>
          <a:effectLst/>
        </c:spPr>
      </c:pivotFmt>
      <c:pivotFmt>
        <c:idx val="6"/>
        <c:spPr>
          <a:solidFill>
            <a:srgbClr val="CC2200"/>
          </a:solidFill>
          <a:ln>
            <a:noFill/>
          </a:ln>
          <a:effectLst/>
        </c:spPr>
      </c:pivotFmt>
      <c:pivotFmt>
        <c:idx val="7"/>
        <c:spPr>
          <a:solidFill>
            <a:srgbClr val="CC2200"/>
          </a:solidFill>
          <a:ln>
            <a:noFill/>
          </a:ln>
          <a:effectLst/>
        </c:spPr>
      </c:pivotFmt>
      <c:pivotFmt>
        <c:idx val="8"/>
        <c:spPr>
          <a:solidFill>
            <a:srgbClr val="CC2200"/>
          </a:solidFill>
          <a:ln>
            <a:noFill/>
          </a:ln>
          <a:effectLst/>
        </c:spPr>
      </c:pivotFmt>
      <c:pivotFmt>
        <c:idx val="9"/>
        <c:spPr>
          <a:solidFill>
            <a:srgbClr val="CC2200"/>
          </a:solidFill>
          <a:ln>
            <a:noFill/>
          </a:ln>
          <a:effectLst/>
        </c:spPr>
      </c:pivotFmt>
      <c:pivotFmt>
        <c:idx val="10"/>
        <c:spPr>
          <a:solidFill>
            <a:srgbClr val="CC2200"/>
          </a:solidFill>
          <a:ln>
            <a:noFill/>
          </a:ln>
          <a:effectLst/>
        </c:spPr>
      </c:pivotFmt>
      <c:pivotFmt>
        <c:idx val="11"/>
        <c:spPr>
          <a:solidFill>
            <a:srgbClr val="CC2200"/>
          </a:solidFill>
          <a:ln>
            <a:noFill/>
          </a:ln>
          <a:effectLst/>
        </c:spPr>
      </c:pivotFmt>
      <c:pivotFmt>
        <c:idx val="12"/>
        <c:spPr>
          <a:solidFill>
            <a:srgbClr val="CC22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Branch!$B$12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22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3C-4FA4-81C2-E66185B69097}"/>
              </c:ext>
            </c:extLst>
          </c:dPt>
          <c:dPt>
            <c:idx val="1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3C-4FA4-81C2-E66185B69097}"/>
              </c:ext>
            </c:extLst>
          </c:dPt>
          <c:dPt>
            <c:idx val="2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3C-4FA4-81C2-E66185B69097}"/>
              </c:ext>
            </c:extLst>
          </c:dPt>
          <c:dPt>
            <c:idx val="3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3C-4FA4-81C2-E66185B69097}"/>
              </c:ext>
            </c:extLst>
          </c:dPt>
          <c:dPt>
            <c:idx val="4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93C-4FA4-81C2-E66185B69097}"/>
              </c:ext>
            </c:extLst>
          </c:dPt>
          <c:dPt>
            <c:idx val="5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93C-4FA4-81C2-E66185B69097}"/>
              </c:ext>
            </c:extLst>
          </c:dPt>
          <c:dPt>
            <c:idx val="6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93C-4FA4-81C2-E66185B69097}"/>
              </c:ext>
            </c:extLst>
          </c:dPt>
          <c:dPt>
            <c:idx val="7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93C-4FA4-81C2-E66185B69097}"/>
              </c:ext>
            </c:extLst>
          </c:dPt>
          <c:dPt>
            <c:idx val="8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93C-4FA4-81C2-E66185B69097}"/>
              </c:ext>
            </c:extLst>
          </c:dPt>
          <c:dPt>
            <c:idx val="9"/>
            <c:invertIfNegative val="0"/>
            <c:bubble3D val="0"/>
            <c:spPr>
              <a:solidFill>
                <a:srgbClr val="CC2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93C-4FA4-81C2-E66185B69097}"/>
              </c:ext>
            </c:extLst>
          </c:dPt>
          <c:cat>
            <c:strRef>
              <c:f>Branch!$A$13:$A$23</c:f>
              <c:strCache>
                <c:ptCount val="10"/>
                <c:pt idx="0">
                  <c:v>Ajah</c:v>
                </c:pt>
                <c:pt idx="1">
                  <c:v>Badagry</c:v>
                </c:pt>
                <c:pt idx="2">
                  <c:v>Festac</c:v>
                </c:pt>
                <c:pt idx="3">
                  <c:v>Ikeja</c:v>
                </c:pt>
                <c:pt idx="4">
                  <c:v>Ikorodu</c:v>
                </c:pt>
                <c:pt idx="5">
                  <c:v>Lekki</c:v>
                </c:pt>
                <c:pt idx="6">
                  <c:v>Maryland</c:v>
                </c:pt>
                <c:pt idx="7">
                  <c:v>Surulere</c:v>
                </c:pt>
                <c:pt idx="8">
                  <c:v>Victoria Island</c:v>
                </c:pt>
                <c:pt idx="9">
                  <c:v>Yaba</c:v>
                </c:pt>
              </c:strCache>
            </c:strRef>
          </c:cat>
          <c:val>
            <c:numRef>
              <c:f>Branch!$B$13:$B$23</c:f>
              <c:numCache>
                <c:formatCode>General</c:formatCode>
                <c:ptCount val="10"/>
                <c:pt idx="0">
                  <c:v>170</c:v>
                </c:pt>
                <c:pt idx="1">
                  <c:v>98</c:v>
                </c:pt>
                <c:pt idx="2">
                  <c:v>90</c:v>
                </c:pt>
                <c:pt idx="3">
                  <c:v>280</c:v>
                </c:pt>
                <c:pt idx="4">
                  <c:v>115</c:v>
                </c:pt>
                <c:pt idx="5">
                  <c:v>320</c:v>
                </c:pt>
                <c:pt idx="6">
                  <c:v>130</c:v>
                </c:pt>
                <c:pt idx="7">
                  <c:v>190</c:v>
                </c:pt>
                <c:pt idx="8">
                  <c:v>210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D-496F-9B8C-1C9A6F16C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03645968"/>
        <c:axId val="1403646448"/>
      </c:barChart>
      <c:catAx>
        <c:axId val="140364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46448"/>
        <c:crosses val="autoZero"/>
        <c:auto val="1"/>
        <c:lblAlgn val="ctr"/>
        <c:lblOffset val="100"/>
        <c:noMultiLvlLbl val="0"/>
      </c:catAx>
      <c:valAx>
        <c:axId val="1403646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364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Dashboard.xlsx]Receipts_Data!PivotTable24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8001A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83838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6B6B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E908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EBCBD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6B6B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E908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C8001A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EBCBD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E83838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6B6B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E908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C8001A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EBCBD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E8383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Receipts_Data!$G$18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54-4152-832D-EF4AD31506BA}"/>
              </c:ext>
            </c:extLst>
          </c:dPt>
          <c:dPt>
            <c:idx val="1"/>
            <c:bubble3D val="0"/>
            <c:spPr>
              <a:solidFill>
                <a:srgbClr val="FE90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54-4152-832D-EF4AD31506BA}"/>
              </c:ext>
            </c:extLst>
          </c:dPt>
          <c:dPt>
            <c:idx val="2"/>
            <c:bubble3D val="0"/>
            <c:spPr>
              <a:solidFill>
                <a:srgbClr val="C8001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54-4152-832D-EF4AD31506BA}"/>
              </c:ext>
            </c:extLst>
          </c:dPt>
          <c:dPt>
            <c:idx val="3"/>
            <c:bubble3D val="0"/>
            <c:explosion val="17"/>
            <c:spPr>
              <a:solidFill>
                <a:srgbClr val="FEBC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54-4152-832D-EF4AD31506BA}"/>
              </c:ext>
            </c:extLst>
          </c:dPt>
          <c:dPt>
            <c:idx val="4"/>
            <c:bubble3D val="0"/>
            <c:spPr>
              <a:solidFill>
                <a:srgbClr val="E838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54-4152-832D-EF4AD31506BA}"/>
              </c:ext>
            </c:extLst>
          </c:dPt>
          <c:cat>
            <c:strRef>
              <c:f>Receipts_Data!$F$19:$F$24</c:f>
              <c:strCache>
                <c:ptCount val="5"/>
                <c:pt idx="0">
                  <c:v>BevCo</c:v>
                </c:pt>
                <c:pt idx="1">
                  <c:v>FarmFresh Ltd</c:v>
                </c:pt>
                <c:pt idx="2">
                  <c:v>GasPlus</c:v>
                </c:pt>
                <c:pt idx="3">
                  <c:v>PoultryKing</c:v>
                </c:pt>
                <c:pt idx="4">
                  <c:v>SpiceWorld</c:v>
                </c:pt>
              </c:strCache>
            </c:strRef>
          </c:cat>
          <c:val>
            <c:numRef>
              <c:f>Receipts_Data!$G$19:$G$24</c:f>
              <c:numCache>
                <c:formatCode>General</c:formatCode>
                <c:ptCount val="5"/>
                <c:pt idx="0">
                  <c:v>4500</c:v>
                </c:pt>
                <c:pt idx="1">
                  <c:v>3000</c:v>
                </c:pt>
                <c:pt idx="2">
                  <c:v>8000</c:v>
                </c:pt>
                <c:pt idx="3">
                  <c:v>1500</c:v>
                </c:pt>
                <c:pt idx="4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54-4152-832D-EF4AD3150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7"/>
        <c:holeSize val="8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50" b="0" i="0" u="none" strike="noStrike" kern="120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Receipts_Data!$D$1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CC22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Receipts_Data!$A$2:$A$6</c15:sqref>
                  </c15:fullRef>
                </c:ext>
              </c:extLst>
              <c:f>Receipts_Data!$A$2:$A$4</c:f>
              <c:strCache>
                <c:ptCount val="3"/>
                <c:pt idx="0">
                  <c:v>Meal Boxes (Small)</c:v>
                </c:pt>
                <c:pt idx="1">
                  <c:v>Meal Boxes (Large)</c:v>
                </c:pt>
                <c:pt idx="2">
                  <c:v>Napkins (Pack)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Receipts_Data!$D$2:$D$6</c15:sqref>
                  </c15:fullRef>
                </c:ext>
              </c:extLst>
              <c:f>Receipts_Data!$D$2:$D$4</c:f>
              <c:numCache>
                <c:formatCode>General</c:formatCode>
                <c:ptCount val="3"/>
                <c:pt idx="0">
                  <c:v>2200</c:v>
                </c:pt>
                <c:pt idx="1">
                  <c:v>1400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1-4962-A605-8614F4DA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3658448"/>
        <c:axId val="1403642128"/>
      </c:barChart>
      <c:catAx>
        <c:axId val="1403658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42128"/>
        <c:crosses val="autoZero"/>
        <c:auto val="1"/>
        <c:lblAlgn val="ctr"/>
        <c:lblOffset val="100"/>
        <c:noMultiLvlLbl val="0"/>
      </c:catAx>
      <c:valAx>
        <c:axId val="140364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3658448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algn="ctr" rtl="0">
              <a:defRPr lang="en-US" sz="105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9.jpeg"/><Relationship Id="rId17" Type="http://schemas.openxmlformats.org/officeDocument/2006/relationships/image" Target="../media/image12.jpeg"/><Relationship Id="rId2" Type="http://schemas.openxmlformats.org/officeDocument/2006/relationships/image" Target="../media/image2.png"/><Relationship Id="rId16" Type="http://schemas.openxmlformats.org/officeDocument/2006/relationships/image" Target="../media/image1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5" Type="http://schemas.openxmlformats.org/officeDocument/2006/relationships/image" Target="../media/image10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chart" Target="../charts/chart1.xml"/><Relationship Id="rId1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259801</xdr:colOff>
      <xdr:row>5</xdr:row>
      <xdr:rowOff>43014</xdr:rowOff>
    </xdr:from>
    <xdr:to>
      <xdr:col>1</xdr:col>
      <xdr:colOff>78826</xdr:colOff>
      <xdr:row>5</xdr:row>
      <xdr:rowOff>43014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0DDCA0B-915C-E342-27ED-511CC47BEB71}"/>
            </a:ext>
          </a:extLst>
        </xdr:cNvPr>
        <xdr:cNvCxnSpPr/>
      </xdr:nvCxnSpPr>
      <xdr:spPr>
        <a:xfrm>
          <a:off x="259801" y="968300"/>
          <a:ext cx="428625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361950</xdr:colOff>
      <xdr:row>1</xdr:row>
      <xdr:rowOff>0</xdr:rowOff>
    </xdr:from>
    <xdr:to>
      <xdr:col>26</xdr:col>
      <xdr:colOff>0</xdr:colOff>
      <xdr:row>42</xdr:row>
      <xdr:rowOff>2177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B36CA2AB-6D5F-4EE2-A7F6-940974F0D700}"/>
            </a:ext>
          </a:extLst>
        </xdr:cNvPr>
        <xdr:cNvGrpSpPr/>
      </xdr:nvGrpSpPr>
      <xdr:grpSpPr>
        <a:xfrm>
          <a:off x="971550" y="185057"/>
          <a:ext cx="14878050" cy="7589520"/>
          <a:chOff x="971550" y="185057"/>
          <a:chExt cx="14878050" cy="7589520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F4C05BAA-F007-44E5-892E-1917B75C6ABA}"/>
              </a:ext>
            </a:extLst>
          </xdr:cNvPr>
          <xdr:cNvSpPr/>
        </xdr:nvSpPr>
        <xdr:spPr>
          <a:xfrm>
            <a:off x="971550" y="185057"/>
            <a:ext cx="14878050" cy="7589520"/>
          </a:xfrm>
          <a:prstGeom prst="roundRect">
            <a:avLst>
              <a:gd name="adj" fmla="val 2254"/>
            </a:avLst>
          </a:prstGeom>
          <a:solidFill>
            <a:srgbClr val="11111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000" b="1" i="0">
                <a:solidFill>
                  <a:schemeClr val="lt1"/>
                </a:solidFill>
                <a:effectLst/>
                <a:latin typeface="Arial Rounded MT Bold" panose="020F0704030504030204" pitchFamily="34" charset="0"/>
                <a:ea typeface="+mn-ea"/>
                <a:cs typeface="+mn-cs"/>
              </a:rPr>
              <a:t>Crunchies Fried Chicken</a:t>
            </a:r>
          </a:p>
          <a:p>
            <a:pPr algn="l"/>
            <a:r>
              <a:rPr lang="en-US" sz="1200" b="0" i="0">
                <a:solidFill>
                  <a:schemeClr val="bg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Store</a:t>
            </a:r>
            <a:r>
              <a:rPr lang="en-US" sz="1200" b="0" i="0" baseline="0">
                <a:solidFill>
                  <a:schemeClr val="bg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200" b="0" i="0">
                <a:solidFill>
                  <a:schemeClr val="bg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Performance Overview  ·  Head</a:t>
            </a:r>
            <a:r>
              <a:rPr lang="en-US" sz="1200" b="0" i="0" baseline="0">
                <a:solidFill>
                  <a:schemeClr val="bg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 Office</a:t>
            </a:r>
            <a:endParaRPr lang="en-US" sz="1200">
              <a:solidFill>
                <a:schemeClr val="bg2">
                  <a:lumMod val="50000"/>
                </a:schemeClr>
              </a:solidFill>
            </a:endParaRPr>
          </a:p>
        </xdr:txBody>
      </xdr: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E532E247-C3B3-44FB-8F4C-E5479F14A39A}"/>
              </a:ext>
            </a:extLst>
          </xdr:cNvPr>
          <xdr:cNvCxnSpPr/>
        </xdr:nvCxnSpPr>
        <xdr:spPr>
          <a:xfrm flipV="1">
            <a:off x="971550" y="925286"/>
            <a:ext cx="14867165" cy="43014"/>
          </a:xfrm>
          <a:prstGeom prst="line">
            <a:avLst/>
          </a:prstGeom>
          <a:ln>
            <a:solidFill>
              <a:schemeClr val="bg2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15</xdr:col>
      <xdr:colOff>302623</xdr:colOff>
      <xdr:row>2</xdr:row>
      <xdr:rowOff>57261</xdr:rowOff>
    </xdr:from>
    <xdr:ext cx="2135777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BF1496C-39B0-5A67-05A2-8BF7C215A4ED}"/>
            </a:ext>
          </a:extLst>
        </xdr:cNvPr>
        <xdr:cNvSpPr txBox="1"/>
      </xdr:nvSpPr>
      <xdr:spPr>
        <a:xfrm>
          <a:off x="9446623" y="427375"/>
          <a:ext cx="21357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 i="1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Dashboard by Crunchies Inventory</a:t>
          </a:r>
        </a:p>
      </xdr:txBody>
    </xdr:sp>
    <xdr:clientData/>
  </xdr:oneCellAnchor>
  <xdr:twoCellAnchor>
    <xdr:from>
      <xdr:col>0</xdr:col>
      <xdr:colOff>114300</xdr:colOff>
      <xdr:row>1</xdr:row>
      <xdr:rowOff>38100</xdr:rowOff>
    </xdr:from>
    <xdr:to>
      <xdr:col>1</xdr:col>
      <xdr:colOff>315685</xdr:colOff>
      <xdr:row>42</xdr:row>
      <xdr:rowOff>40277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25E61D99-F8A4-B89D-2228-58674D5B6C2B}"/>
            </a:ext>
          </a:extLst>
        </xdr:cNvPr>
        <xdr:cNvGrpSpPr/>
      </xdr:nvGrpSpPr>
      <xdr:grpSpPr>
        <a:xfrm>
          <a:off x="114300" y="223157"/>
          <a:ext cx="810985" cy="7589520"/>
          <a:chOff x="114300" y="223157"/>
          <a:chExt cx="810985" cy="758952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FB2E04DF-9A4A-D025-48AA-D20CE94FD2F3}"/>
              </a:ext>
            </a:extLst>
          </xdr:cNvPr>
          <xdr:cNvSpPr/>
        </xdr:nvSpPr>
        <xdr:spPr>
          <a:xfrm>
            <a:off x="114300" y="223157"/>
            <a:ext cx="781050" cy="7589520"/>
          </a:xfrm>
          <a:prstGeom prst="roundRect">
            <a:avLst/>
          </a:prstGeom>
          <a:solidFill>
            <a:srgbClr val="11111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75B0A14-E8FB-DACF-7886-07D663C86A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1945" y="6581774"/>
            <a:ext cx="365760" cy="373925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A921ECE4-B1CF-D3FE-1E47-20C244D8C3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534" y="3331029"/>
            <a:ext cx="482582" cy="494828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26A08D7A-6367-C44A-D69A-7992C46243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534" y="5889172"/>
            <a:ext cx="482582" cy="494828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6942B376-7713-4ED1-57B4-FF3EE89F6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0208" y="1933936"/>
            <a:ext cx="482582" cy="494829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F0EA4150-8CC1-C7E4-DF64-E87289672E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4348" y="1261654"/>
            <a:ext cx="365760" cy="373924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C48C6DC9-7D0B-3CD1-7289-EA42A94490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534" y="2651143"/>
            <a:ext cx="482582" cy="494828"/>
          </a:xfrm>
          <a:prstGeom prst="rect">
            <a:avLst/>
          </a:prstGeom>
        </xdr:spPr>
      </xdr:pic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85733DAF-B400-4109-C0FD-A43ED99C83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714" y="326571"/>
            <a:ext cx="707571" cy="514095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343694</xdr:colOff>
      <xdr:row>6</xdr:row>
      <xdr:rowOff>23933</xdr:rowOff>
    </xdr:from>
    <xdr:to>
      <xdr:col>17</xdr:col>
      <xdr:colOff>478972</xdr:colOff>
      <xdr:row>23</xdr:row>
      <xdr:rowOff>134595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26EE8A30-E7FF-4FE1-B370-56CDBB13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39694" y="1134276"/>
          <a:ext cx="4402478" cy="3256633"/>
        </a:xfrm>
        <a:prstGeom prst="rect">
          <a:avLst/>
        </a:prstGeom>
      </xdr:spPr>
    </xdr:pic>
    <xdr:clientData/>
  </xdr:twoCellAnchor>
  <xdr:twoCellAnchor>
    <xdr:from>
      <xdr:col>1</xdr:col>
      <xdr:colOff>551089</xdr:colOff>
      <xdr:row>6</xdr:row>
      <xdr:rowOff>43544</xdr:rowOff>
    </xdr:from>
    <xdr:to>
      <xdr:col>10</xdr:col>
      <xdr:colOff>174171</xdr:colOff>
      <xdr:row>17</xdr:row>
      <xdr:rowOff>166008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D1A97C34-F1E6-52A1-6C80-231DC0D1459B}"/>
            </a:ext>
          </a:extLst>
        </xdr:cNvPr>
        <xdr:cNvGrpSpPr/>
      </xdr:nvGrpSpPr>
      <xdr:grpSpPr>
        <a:xfrm>
          <a:off x="1160689" y="1153887"/>
          <a:ext cx="5109482" cy="2158092"/>
          <a:chOff x="1160689" y="1153887"/>
          <a:chExt cx="4274820" cy="2158092"/>
        </a:xfrm>
      </xdr:grpSpPr>
      <xdr:grpSp>
        <xdr:nvGrpSpPr>
          <xdr:cNvPr id="107" name="Group 106">
            <a:extLst>
              <a:ext uri="{FF2B5EF4-FFF2-40B4-BE49-F238E27FC236}">
                <a16:creationId xmlns:a16="http://schemas.microsoft.com/office/drawing/2014/main" id="{6A7DD473-F1CC-D197-3C0A-E8A72FB1BDE6}"/>
              </a:ext>
            </a:extLst>
          </xdr:cNvPr>
          <xdr:cNvGrpSpPr/>
        </xdr:nvGrpSpPr>
        <xdr:grpSpPr>
          <a:xfrm>
            <a:off x="3332389" y="2264230"/>
            <a:ext cx="2103120" cy="1047749"/>
            <a:chOff x="3332389" y="2264230"/>
            <a:chExt cx="2103120" cy="1047749"/>
          </a:xfrm>
        </xdr:grpSpPr>
        <xdr:sp macro="" textlink="">
          <xdr:nvSpPr>
            <xdr:cNvPr id="61" name="Rectangle: Rounded Corners 60">
              <a:extLst>
                <a:ext uri="{FF2B5EF4-FFF2-40B4-BE49-F238E27FC236}">
                  <a16:creationId xmlns:a16="http://schemas.microsoft.com/office/drawing/2014/main" id="{09AC3F02-FBEF-42C8-8CFB-18199FCDE987}"/>
                </a:ext>
              </a:extLst>
            </xdr:cNvPr>
            <xdr:cNvSpPr/>
          </xdr:nvSpPr>
          <xdr:spPr>
            <a:xfrm>
              <a:off x="3332389" y="2268313"/>
              <a:ext cx="2103120" cy="1043666"/>
            </a:xfrm>
            <a:prstGeom prst="roundRect">
              <a:avLst>
                <a:gd name="adj" fmla="val 9375"/>
              </a:avLst>
            </a:prstGeom>
            <a:solidFill>
              <a:srgbClr val="1D1D1D">
                <a:alpha val="70000"/>
              </a:srgb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200" b="1" i="0" cap="all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</a:t>
              </a:r>
              <a:r>
                <a:rPr lang="en-US" sz="1200" b="1" i="0" cap="all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REVENUE</a:t>
              </a:r>
              <a:endParaRPr lang="en-US" sz="1200"/>
            </a:p>
          </xdr:txBody>
        </xdr:sp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73D67B96-BD7C-451F-9E9F-2564F3CD6057}"/>
                </a:ext>
              </a:extLst>
            </xdr:cNvPr>
            <xdr:cNvCxnSpPr/>
          </xdr:nvCxnSpPr>
          <xdr:spPr>
            <a:xfrm flipV="1">
              <a:off x="3450771" y="2264230"/>
              <a:ext cx="1894114" cy="1"/>
            </a:xfrm>
            <a:prstGeom prst="line">
              <a:avLst/>
            </a:prstGeom>
            <a:ln cmpd="thickThin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4" name="Group 103">
            <a:extLst>
              <a:ext uri="{FF2B5EF4-FFF2-40B4-BE49-F238E27FC236}">
                <a16:creationId xmlns:a16="http://schemas.microsoft.com/office/drawing/2014/main" id="{0F7CFBD3-77B1-AC4E-F6CE-2BE184B6BEE3}"/>
              </a:ext>
            </a:extLst>
          </xdr:cNvPr>
          <xdr:cNvGrpSpPr/>
        </xdr:nvGrpSpPr>
        <xdr:grpSpPr>
          <a:xfrm>
            <a:off x="1160689" y="1153887"/>
            <a:ext cx="2103120" cy="1066799"/>
            <a:chOff x="1160689" y="1153887"/>
            <a:chExt cx="2103120" cy="1066799"/>
          </a:xfrm>
        </xdr:grpSpPr>
        <xdr:sp macro="" textlink="">
          <xdr:nvSpPr>
            <xdr:cNvPr id="41" name="Rectangle: Rounded Corners 40">
              <a:extLst>
                <a:ext uri="{FF2B5EF4-FFF2-40B4-BE49-F238E27FC236}">
                  <a16:creationId xmlns:a16="http://schemas.microsoft.com/office/drawing/2014/main" id="{29D96C31-F11F-0A44-9AA7-08E72A23125B}"/>
                </a:ext>
              </a:extLst>
            </xdr:cNvPr>
            <xdr:cNvSpPr/>
          </xdr:nvSpPr>
          <xdr:spPr>
            <a:xfrm>
              <a:off x="1160689" y="1177020"/>
              <a:ext cx="2103120" cy="1043666"/>
            </a:xfrm>
            <a:prstGeom prst="roundRect">
              <a:avLst>
                <a:gd name="adj" fmla="val 9375"/>
              </a:avLst>
            </a:prstGeom>
            <a:solidFill>
              <a:srgbClr val="1D1D1D">
                <a:alpha val="70000"/>
              </a:srgbClr>
            </a:solidFill>
            <a:ln cmpd="sng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 cap="all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Items Received</a:t>
              </a:r>
              <a:endParaRPr lang="en-US" sz="1100"/>
            </a:p>
          </xdr:txBody>
        </xdr:sp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BD3C1769-22EC-1DFA-3093-2016F3D7D87D}"/>
                </a:ext>
              </a:extLst>
            </xdr:cNvPr>
            <xdr:cNvCxnSpPr/>
          </xdr:nvCxnSpPr>
          <xdr:spPr>
            <a:xfrm flipV="1">
              <a:off x="1279072" y="1153887"/>
              <a:ext cx="1894114" cy="1"/>
            </a:xfrm>
            <a:prstGeom prst="line">
              <a:avLst/>
            </a:prstGeom>
            <a:ln cmpd="thickThin">
              <a:solidFill>
                <a:srgbClr val="C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Total_Items_Received">
          <xdr:nvSpPr>
            <xdr:cNvPr id="88" name="TextBox 87">
              <a:extLst>
                <a:ext uri="{FF2B5EF4-FFF2-40B4-BE49-F238E27FC236}">
                  <a16:creationId xmlns:a16="http://schemas.microsoft.com/office/drawing/2014/main" id="{9A39118B-1816-4AEF-8D10-37FDE63EB625}"/>
                </a:ext>
              </a:extLst>
            </xdr:cNvPr>
            <xdr:cNvSpPr txBox="1"/>
          </xdr:nvSpPr>
          <xdr:spPr>
            <a:xfrm>
              <a:off x="1219199" y="1491341"/>
              <a:ext cx="827314" cy="370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fld id="{8A4FDD03-3C66-4FC7-B2F8-65855084006C}" type="TxLink">
                <a:rPr lang="en-US" sz="2000" b="0" i="0" u="none" strike="noStrike">
                  <a:solidFill>
                    <a:schemeClr val="bg1"/>
                  </a:solidFill>
                  <a:latin typeface="Arial Rounded MT Bold" panose="020F0704030504030204" pitchFamily="34" charset="0"/>
                  <a:ea typeface="Calibri"/>
                  <a:cs typeface="Calibri"/>
                </a:rPr>
                <a:pPr/>
                <a:t>7730</a:t>
              </a:fld>
              <a:endParaRPr lang="en-US" sz="2000">
                <a:solidFill>
                  <a:schemeClr val="bg1"/>
                </a:solidFill>
                <a:latin typeface="Arial Rounded MT Bold" panose="020F0704030504030204" pitchFamily="34" charset="0"/>
              </a:endParaRPr>
            </a:p>
          </xdr:txBody>
        </xdr:sp>
      </xdr:grpSp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F077DD2A-84DD-5F71-D61A-B031C3F32307}"/>
              </a:ext>
            </a:extLst>
          </xdr:cNvPr>
          <xdr:cNvGrpSpPr/>
        </xdr:nvGrpSpPr>
        <xdr:grpSpPr>
          <a:xfrm>
            <a:off x="3332389" y="1153887"/>
            <a:ext cx="2103120" cy="1066799"/>
            <a:chOff x="3332389" y="1153887"/>
            <a:chExt cx="2103120" cy="1066799"/>
          </a:xfrm>
        </xdr:grpSpPr>
        <xdr:sp macro="" textlink="">
          <xdr:nvSpPr>
            <xdr:cNvPr id="60" name="Rectangle: Rounded Corners 59">
              <a:extLst>
                <a:ext uri="{FF2B5EF4-FFF2-40B4-BE49-F238E27FC236}">
                  <a16:creationId xmlns:a16="http://schemas.microsoft.com/office/drawing/2014/main" id="{9462A118-4F7E-4EC6-87A3-BAB8D5406B19}"/>
                </a:ext>
              </a:extLst>
            </xdr:cNvPr>
            <xdr:cNvSpPr/>
          </xdr:nvSpPr>
          <xdr:spPr>
            <a:xfrm>
              <a:off x="3332389" y="1177020"/>
              <a:ext cx="2103120" cy="1043666"/>
            </a:xfrm>
            <a:prstGeom prst="roundRect">
              <a:avLst>
                <a:gd name="adj" fmla="val 9375"/>
              </a:avLst>
            </a:prstGeom>
            <a:solidFill>
              <a:srgbClr val="1D1D1D">
                <a:alpha val="70000"/>
              </a:srgb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200" b="1" i="0" cap="all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Items Issued</a:t>
              </a:r>
              <a:endParaRPr lang="en-US" sz="1200"/>
            </a:p>
          </xdr:txBody>
        </xdr:sp>
        <xdr:cxnSp macro="">
          <xdr:nvCxnSpPr>
            <xdr:cNvPr id="77" name="Straight Connector 76">
              <a:extLst>
                <a:ext uri="{FF2B5EF4-FFF2-40B4-BE49-F238E27FC236}">
                  <a16:creationId xmlns:a16="http://schemas.microsoft.com/office/drawing/2014/main" id="{18711055-98D9-4276-8B8A-EB3BC9F1B340}"/>
                </a:ext>
              </a:extLst>
            </xdr:cNvPr>
            <xdr:cNvCxnSpPr/>
          </xdr:nvCxnSpPr>
          <xdr:spPr>
            <a:xfrm flipV="1">
              <a:off x="3450771" y="1153887"/>
              <a:ext cx="1894114" cy="1"/>
            </a:xfrm>
            <a:prstGeom prst="line">
              <a:avLst/>
            </a:prstGeom>
            <a:ln cmpd="thickThin">
              <a:solidFill>
                <a:srgbClr val="00B05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Total_Items_Issued">
          <xdr:nvSpPr>
            <xdr:cNvPr id="89" name="TextBox 88">
              <a:extLst>
                <a:ext uri="{FF2B5EF4-FFF2-40B4-BE49-F238E27FC236}">
                  <a16:creationId xmlns:a16="http://schemas.microsoft.com/office/drawing/2014/main" id="{4FB9B6BE-ED98-128E-BAF1-09838050CDDA}"/>
                </a:ext>
              </a:extLst>
            </xdr:cNvPr>
            <xdr:cNvSpPr txBox="1"/>
          </xdr:nvSpPr>
          <xdr:spPr>
            <a:xfrm>
              <a:off x="3450771" y="1469572"/>
              <a:ext cx="733278" cy="3594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indent="0"/>
              <a:fld id="{4A325F4A-5CF4-4E67-B21E-C8E506677948}" type="TxLink">
                <a:rPr lang="en-US" sz="2000" b="0" i="0" u="none" strike="noStrike">
                  <a:solidFill>
                    <a:schemeClr val="bg1"/>
                  </a:solidFill>
                  <a:latin typeface="Arial Rounded MT Bold" panose="020F0704030504030204" pitchFamily="34" charset="0"/>
                  <a:ea typeface="Calibri"/>
                  <a:cs typeface="Calibri"/>
                </a:rPr>
                <a:pPr marL="0" indent="0"/>
                <a:t>2133</a:t>
              </a:fld>
              <a:endParaRPr lang="en-US" sz="2000" b="0" i="0" u="none" strike="noStrike">
                <a:solidFill>
                  <a:schemeClr val="bg1"/>
                </a:solidFill>
                <a:latin typeface="Arial Rounded MT Bold" panose="020F0704030504030204" pitchFamily="34" charset="0"/>
                <a:ea typeface="Calibri"/>
                <a:cs typeface="Calibri"/>
              </a:endParaRPr>
            </a:p>
          </xdr:txBody>
        </xdr:sp>
      </xdr:grp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99BCEF60-9327-3DF9-81CA-52DA5F1CFFC4}"/>
              </a:ext>
            </a:extLst>
          </xdr:cNvPr>
          <xdr:cNvGrpSpPr/>
        </xdr:nvGrpSpPr>
        <xdr:grpSpPr>
          <a:xfrm>
            <a:off x="1160689" y="2264230"/>
            <a:ext cx="2103120" cy="1047749"/>
            <a:chOff x="1160689" y="2264230"/>
            <a:chExt cx="2103120" cy="1047749"/>
          </a:xfrm>
        </xdr:grpSpPr>
        <xdr:sp macro="" textlink="">
          <xdr:nvSpPr>
            <xdr:cNvPr id="59" name="Rectangle: Rounded Corners 58">
              <a:extLst>
                <a:ext uri="{FF2B5EF4-FFF2-40B4-BE49-F238E27FC236}">
                  <a16:creationId xmlns:a16="http://schemas.microsoft.com/office/drawing/2014/main" id="{87C8AD58-E108-4905-A424-3866D8B28937}"/>
                </a:ext>
              </a:extLst>
            </xdr:cNvPr>
            <xdr:cNvSpPr/>
          </xdr:nvSpPr>
          <xdr:spPr>
            <a:xfrm>
              <a:off x="1160689" y="2268313"/>
              <a:ext cx="2103120" cy="1043666"/>
            </a:xfrm>
            <a:prstGeom prst="roundRect">
              <a:avLst>
                <a:gd name="adj" fmla="val 9375"/>
              </a:avLst>
            </a:prstGeom>
            <a:solidFill>
              <a:srgbClr val="1D1D1D">
                <a:alpha val="70000"/>
              </a:srgb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r>
                <a:rPr lang="en-US" sz="1200" b="1" i="0" cap="all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Active Branches</a:t>
              </a:r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19505C5A-72EE-473F-90D6-E4394342B261}"/>
                </a:ext>
              </a:extLst>
            </xdr:cNvPr>
            <xdr:cNvCxnSpPr/>
          </xdr:nvCxnSpPr>
          <xdr:spPr>
            <a:xfrm flipV="1">
              <a:off x="1279072" y="2264230"/>
              <a:ext cx="1894114" cy="1"/>
            </a:xfrm>
            <a:prstGeom prst="line">
              <a:avLst/>
            </a:prstGeom>
            <a:ln cmpd="thickThin">
              <a:solidFill>
                <a:schemeClr val="accent4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_Active_Branches">
          <xdr:nvSpPr>
            <xdr:cNvPr id="91" name="TextBox 90">
              <a:extLst>
                <a:ext uri="{FF2B5EF4-FFF2-40B4-BE49-F238E27FC236}">
                  <a16:creationId xmlns:a16="http://schemas.microsoft.com/office/drawing/2014/main" id="{CED14F75-617A-223B-E7B0-7D03201BA5CF}"/>
                </a:ext>
              </a:extLst>
            </xdr:cNvPr>
            <xdr:cNvSpPr txBox="1"/>
          </xdr:nvSpPr>
          <xdr:spPr>
            <a:xfrm>
              <a:off x="1240972" y="2590800"/>
              <a:ext cx="653143" cy="3594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indent="0"/>
              <a:fld id="{1D14692A-4EF4-46E7-A1B6-5D72A568D262}" type="TxLink">
                <a:rPr lang="en-US" sz="2000" b="0" i="0" u="none" strike="noStrike">
                  <a:solidFill>
                    <a:schemeClr val="bg1"/>
                  </a:solidFill>
                  <a:latin typeface="Arial Rounded MT Bold" panose="020F0704030504030204" pitchFamily="34" charset="0"/>
                  <a:ea typeface="Calibri"/>
                  <a:cs typeface="Calibri"/>
                </a:rPr>
                <a:pPr marL="0" indent="0"/>
                <a:t>10</a:t>
              </a:fld>
              <a:endParaRPr lang="en-US" sz="2000" b="0" i="0" u="none" strike="noStrike">
                <a:solidFill>
                  <a:schemeClr val="bg1"/>
                </a:solidFill>
                <a:latin typeface="Arial Rounded MT Bold" panose="020F0704030504030204" pitchFamily="34" charset="0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>
    <xdr:from>
      <xdr:col>18</xdr:col>
      <xdr:colOff>65314</xdr:colOff>
      <xdr:row>6</xdr:row>
      <xdr:rowOff>0</xdr:rowOff>
    </xdr:from>
    <xdr:to>
      <xdr:col>26</xdr:col>
      <xdr:colOff>195943</xdr:colOff>
      <xdr:row>27</xdr:row>
      <xdr:rowOff>43543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DB9A29D9-C774-4173-D7CE-6B68D4367832}"/>
            </a:ext>
          </a:extLst>
        </xdr:cNvPr>
        <xdr:cNvGrpSpPr/>
      </xdr:nvGrpSpPr>
      <xdr:grpSpPr>
        <a:xfrm>
          <a:off x="11038114" y="1110343"/>
          <a:ext cx="5007429" cy="3929743"/>
          <a:chOff x="11582400" y="1110343"/>
          <a:chExt cx="4463143" cy="3951514"/>
        </a:xfrm>
      </xdr:grpSpPr>
      <xdr:sp macro="" textlink="">
        <xdr:nvSpPr>
          <xdr:cNvPr id="49" name="Rectangle: Rounded Corners 48">
            <a:extLst>
              <a:ext uri="{FF2B5EF4-FFF2-40B4-BE49-F238E27FC236}">
                <a16:creationId xmlns:a16="http://schemas.microsoft.com/office/drawing/2014/main" id="{B885577A-C207-4844-A986-325EB0EC9C3A}"/>
              </a:ext>
            </a:extLst>
          </xdr:cNvPr>
          <xdr:cNvSpPr/>
        </xdr:nvSpPr>
        <xdr:spPr>
          <a:xfrm>
            <a:off x="11680371" y="1110343"/>
            <a:ext cx="3995059" cy="3951514"/>
          </a:xfrm>
          <a:prstGeom prst="roundRect">
            <a:avLst>
              <a:gd name="adj" fmla="val 4770"/>
            </a:avLst>
          </a:prstGeom>
          <a:solidFill>
            <a:srgbClr val="1D1D1D">
              <a:alpha val="7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 b="1" i="0" cap="all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📦 Top Receipt by Items</a:t>
            </a:r>
            <a:endParaRPr lang="en-US" sz="1200">
              <a:effectLst/>
            </a:endParaRPr>
          </a:p>
        </xdr:txBody>
      </xdr:sp>
      <xdr:graphicFrame macro="">
        <xdr:nvGraphicFramePr>
          <xdr:cNvPr id="92" name="Top_Receipt_by_Items">
            <a:extLst>
              <a:ext uri="{FF2B5EF4-FFF2-40B4-BE49-F238E27FC236}">
                <a16:creationId xmlns:a16="http://schemas.microsoft.com/office/drawing/2014/main" id="{C7BD7DBE-BA47-4DA3-B6FB-8D29EA259319}"/>
              </a:ext>
            </a:extLst>
          </xdr:cNvPr>
          <xdr:cNvGraphicFramePr>
            <a:graphicFrameLocks/>
          </xdr:cNvGraphicFramePr>
        </xdr:nvGraphicFramePr>
        <xdr:xfrm>
          <a:off x="11582400" y="1110344"/>
          <a:ext cx="4463143" cy="38317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7</xdr:col>
      <xdr:colOff>0</xdr:colOff>
      <xdr:row>28</xdr:row>
      <xdr:rowOff>54429</xdr:rowOff>
    </xdr:from>
    <xdr:to>
      <xdr:col>16</xdr:col>
      <xdr:colOff>315686</xdr:colOff>
      <xdr:row>41</xdr:row>
      <xdr:rowOff>62702</xdr:rowOff>
    </xdr:to>
    <xdr:grpSp>
      <xdr:nvGrpSpPr>
        <xdr:cNvPr id="101" name="Group 100">
          <a:extLst>
            <a:ext uri="{FF2B5EF4-FFF2-40B4-BE49-F238E27FC236}">
              <a16:creationId xmlns:a16="http://schemas.microsoft.com/office/drawing/2014/main" id="{1A9B69D7-9FAA-51FA-8D16-024EAA5D19C5}"/>
            </a:ext>
          </a:extLst>
        </xdr:cNvPr>
        <xdr:cNvGrpSpPr/>
      </xdr:nvGrpSpPr>
      <xdr:grpSpPr>
        <a:xfrm>
          <a:off x="4267200" y="5236029"/>
          <a:ext cx="5802086" cy="2414016"/>
          <a:chOff x="4245427" y="5236027"/>
          <a:chExt cx="5823859" cy="2604007"/>
        </a:xfrm>
      </xdr:grpSpPr>
      <xdr:sp macro="" textlink="">
        <xdr:nvSpPr>
          <xdr:cNvPr id="64" name="Rectangle: Rounded Corners 63">
            <a:extLst>
              <a:ext uri="{FF2B5EF4-FFF2-40B4-BE49-F238E27FC236}">
                <a16:creationId xmlns:a16="http://schemas.microsoft.com/office/drawing/2014/main" id="{6386228B-1687-45F2-845A-DADA2668BBCD}"/>
              </a:ext>
            </a:extLst>
          </xdr:cNvPr>
          <xdr:cNvSpPr/>
        </xdr:nvSpPr>
        <xdr:spPr>
          <a:xfrm>
            <a:off x="4348844" y="5236027"/>
            <a:ext cx="5421085" cy="2604007"/>
          </a:xfrm>
          <a:prstGeom prst="roundRect">
            <a:avLst>
              <a:gd name="adj" fmla="val 4770"/>
            </a:avLst>
          </a:prstGeom>
          <a:solidFill>
            <a:srgbClr val="1D1D1D">
              <a:alpha val="7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 b="1" i="0" cap="all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📤 Top Issuance by Item</a:t>
            </a:r>
            <a:endParaRPr lang="en-US" sz="1200">
              <a:effectLst/>
            </a:endParaRPr>
          </a:p>
        </xdr:txBody>
      </xdr:sp>
      <xdr:graphicFrame macro="">
        <xdr:nvGraphicFramePr>
          <xdr:cNvPr id="93" name="Top Issuance_by_Item">
            <a:extLst>
              <a:ext uri="{FF2B5EF4-FFF2-40B4-BE49-F238E27FC236}">
                <a16:creationId xmlns:a16="http://schemas.microsoft.com/office/drawing/2014/main" id="{5CD5D309-1975-4068-BE5D-09B37FCD15BC}"/>
              </a:ext>
            </a:extLst>
          </xdr:cNvPr>
          <xdr:cNvGraphicFramePr>
            <a:graphicFrameLocks/>
          </xdr:cNvGraphicFramePr>
        </xdr:nvGraphicFramePr>
        <xdr:xfrm>
          <a:off x="4245427" y="5551714"/>
          <a:ext cx="5823859" cy="22206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16</xdr:col>
      <xdr:colOff>119744</xdr:colOff>
      <xdr:row>28</xdr:row>
      <xdr:rowOff>32657</xdr:rowOff>
    </xdr:from>
    <xdr:to>
      <xdr:col>25</xdr:col>
      <xdr:colOff>457200</xdr:colOff>
      <xdr:row>41</xdr:row>
      <xdr:rowOff>65314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C630CDB2-5832-4B81-FFCC-A7FCCCDB152B}"/>
            </a:ext>
          </a:extLst>
        </xdr:cNvPr>
        <xdr:cNvGrpSpPr/>
      </xdr:nvGrpSpPr>
      <xdr:grpSpPr>
        <a:xfrm>
          <a:off x="9873344" y="5214257"/>
          <a:ext cx="5823856" cy="2438400"/>
          <a:chOff x="9873344" y="5236029"/>
          <a:chExt cx="5823856" cy="2416628"/>
        </a:xfrm>
      </xdr:grpSpPr>
      <xdr:sp macro="" textlink="">
        <xdr:nvSpPr>
          <xdr:cNvPr id="65" name="Rectangle: Rounded Corners 64">
            <a:extLst>
              <a:ext uri="{FF2B5EF4-FFF2-40B4-BE49-F238E27FC236}">
                <a16:creationId xmlns:a16="http://schemas.microsoft.com/office/drawing/2014/main" id="{B6FFD63C-0CD1-4AAD-9789-CF7BE086159B}"/>
              </a:ext>
            </a:extLst>
          </xdr:cNvPr>
          <xdr:cNvSpPr/>
        </xdr:nvSpPr>
        <xdr:spPr>
          <a:xfrm>
            <a:off x="9873344" y="5236029"/>
            <a:ext cx="5823856" cy="2377440"/>
          </a:xfrm>
          <a:prstGeom prst="roundRect">
            <a:avLst>
              <a:gd name="adj" fmla="val 4770"/>
            </a:avLst>
          </a:prstGeom>
          <a:solidFill>
            <a:srgbClr val="1D1D1D">
              <a:alpha val="7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 i="0" cap="all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🏪 Top Issuance of Items by Branch</a:t>
            </a:r>
            <a:endParaRPr lang="en-US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94" name="Top_Issuance_of_Items_by_Branch">
            <a:extLst>
              <a:ext uri="{FF2B5EF4-FFF2-40B4-BE49-F238E27FC236}">
                <a16:creationId xmlns:a16="http://schemas.microsoft.com/office/drawing/2014/main" id="{D7C4DF04-8369-4B19-B968-60A953001386}"/>
              </a:ext>
            </a:extLst>
          </xdr:cNvPr>
          <xdr:cNvGraphicFramePr>
            <a:graphicFrameLocks/>
          </xdr:cNvGraphicFramePr>
        </xdr:nvGraphicFramePr>
        <xdr:xfrm>
          <a:off x="10047514" y="5355771"/>
          <a:ext cx="5486400" cy="22968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 editAs="oneCell">
    <xdr:from>
      <xdr:col>19</xdr:col>
      <xdr:colOff>315684</xdr:colOff>
      <xdr:row>1</xdr:row>
      <xdr:rowOff>152401</xdr:rowOff>
    </xdr:from>
    <xdr:to>
      <xdr:col>22</xdr:col>
      <xdr:colOff>315683</xdr:colOff>
      <xdr:row>4</xdr:row>
      <xdr:rowOff>166423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4C8C14C-81F1-E0B3-FB6F-FB25568EA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898084" y="337458"/>
          <a:ext cx="1828799" cy="569194"/>
        </a:xfrm>
        <a:prstGeom prst="rect">
          <a:avLst/>
        </a:prstGeom>
      </xdr:spPr>
    </xdr:pic>
    <xdr:clientData/>
  </xdr:twoCellAnchor>
  <xdr:twoCellAnchor>
    <xdr:from>
      <xdr:col>1</xdr:col>
      <xdr:colOff>502919</xdr:colOff>
      <xdr:row>28</xdr:row>
      <xdr:rowOff>54428</xdr:rowOff>
    </xdr:from>
    <xdr:to>
      <xdr:col>7</xdr:col>
      <xdr:colOff>0</xdr:colOff>
      <xdr:row>41</xdr:row>
      <xdr:rowOff>163285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DA249665-F249-924F-7566-9BA6D7908CED}"/>
            </a:ext>
          </a:extLst>
        </xdr:cNvPr>
        <xdr:cNvGrpSpPr/>
      </xdr:nvGrpSpPr>
      <xdr:grpSpPr>
        <a:xfrm>
          <a:off x="1112519" y="5236028"/>
          <a:ext cx="3154681" cy="2514600"/>
          <a:chOff x="1112519" y="5236029"/>
          <a:chExt cx="3154681" cy="2514600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3FFD626E-AA52-4B03-ACB2-2CC8B1D5CD59}"/>
              </a:ext>
            </a:extLst>
          </xdr:cNvPr>
          <xdr:cNvSpPr/>
        </xdr:nvSpPr>
        <xdr:spPr>
          <a:xfrm>
            <a:off x="1112519" y="5236029"/>
            <a:ext cx="3132910" cy="2421599"/>
          </a:xfrm>
          <a:prstGeom prst="roundRect">
            <a:avLst>
              <a:gd name="adj" fmla="val 4770"/>
            </a:avLst>
          </a:prstGeom>
          <a:solidFill>
            <a:srgbClr val="1D1D1D">
              <a:alpha val="7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 i="0" cap="all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TOP</a:t>
            </a:r>
            <a:r>
              <a:rPr lang="en-US" sz="1200" b="1" i="0" cap="all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SUPPLIER</a:t>
            </a:r>
            <a:endParaRPr lang="en-US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97" name="Top_supplier">
            <a:extLst>
              <a:ext uri="{FF2B5EF4-FFF2-40B4-BE49-F238E27FC236}">
                <a16:creationId xmlns:a16="http://schemas.microsoft.com/office/drawing/2014/main" id="{7A53BBC3-4081-45DF-ADEB-F702DD64E64E}"/>
              </a:ext>
            </a:extLst>
          </xdr:cNvPr>
          <xdr:cNvGraphicFramePr>
            <a:graphicFrameLocks/>
          </xdr:cNvGraphicFramePr>
        </xdr:nvGraphicFramePr>
        <xdr:xfrm>
          <a:off x="1219200" y="5366657"/>
          <a:ext cx="3048000" cy="23839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Total_Units">
        <xdr:nvSpPr>
          <xdr:cNvPr id="98" name="TextBox 97">
            <a:extLst>
              <a:ext uri="{FF2B5EF4-FFF2-40B4-BE49-F238E27FC236}">
                <a16:creationId xmlns:a16="http://schemas.microsoft.com/office/drawing/2014/main" id="{D3DA9E8D-1560-4E15-3E87-51B24E6A89ED}"/>
              </a:ext>
            </a:extLst>
          </xdr:cNvPr>
          <xdr:cNvSpPr txBox="1"/>
        </xdr:nvSpPr>
        <xdr:spPr>
          <a:xfrm>
            <a:off x="1534891" y="6291944"/>
            <a:ext cx="1289264" cy="4484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fld id="{50251779-5667-46E3-823A-20F632DD8167}" type="TxLink">
              <a:rPr lang="en-US" sz="1200" b="0" i="0" u="none" strike="noStrike">
                <a:solidFill>
                  <a:schemeClr val="bg1"/>
                </a:solidFill>
                <a:latin typeface="Arial Rounded MT Bold" panose="020F0704030504030204" pitchFamily="34" charset="0"/>
                <a:ea typeface="Calibri"/>
                <a:cs typeface="Calibri"/>
              </a:rPr>
              <a:pPr algn="ctr"/>
              <a:t>22500</a:t>
            </a:fld>
            <a:endParaRPr lang="en-US" sz="1200" b="0" i="0" u="none" strike="noStrike">
              <a:solidFill>
                <a:schemeClr val="bg1"/>
              </a:solidFill>
              <a:latin typeface="Arial Rounded MT Bold" panose="020F0704030504030204" pitchFamily="34" charset="0"/>
              <a:ea typeface="Calibri"/>
              <a:cs typeface="Calibri"/>
            </a:endParaRPr>
          </a:p>
          <a:p>
            <a:pPr algn="ctr"/>
            <a:r>
              <a:rPr lang="en-US" sz="1200" b="0" i="0" u="none" strike="noStrike">
                <a:solidFill>
                  <a:schemeClr val="bg1">
                    <a:lumMod val="75000"/>
                  </a:schemeClr>
                </a:solidFill>
                <a:latin typeface="Arial Rounded MT Bold" panose="020F0704030504030204" pitchFamily="34" charset="0"/>
                <a:ea typeface="Calibri"/>
                <a:cs typeface="Calibri"/>
              </a:rPr>
              <a:t>Total</a:t>
            </a:r>
            <a:r>
              <a:rPr lang="en-US" sz="1200" b="0" i="0" u="none" strike="noStrike" baseline="0">
                <a:solidFill>
                  <a:schemeClr val="bg1">
                    <a:lumMod val="75000"/>
                  </a:schemeClr>
                </a:solidFill>
                <a:latin typeface="Arial Rounded MT Bold" panose="020F0704030504030204" pitchFamily="34" charset="0"/>
                <a:ea typeface="Calibri"/>
                <a:cs typeface="Calibri"/>
              </a:rPr>
              <a:t> Unit Cost</a:t>
            </a:r>
            <a:endParaRPr lang="en-US" sz="1200">
              <a:solidFill>
                <a:schemeClr val="bg1">
                  <a:lumMod val="75000"/>
                </a:schemeClr>
              </a:solidFill>
              <a:latin typeface="Arial Rounded MT Bold" panose="020F0704030504030204" pitchFamily="34" charset="0"/>
            </a:endParaRPr>
          </a:p>
        </xdr:txBody>
      </xdr:sp>
    </xdr:grpSp>
    <xdr:clientData/>
  </xdr:twoCellAnchor>
  <xdr:twoCellAnchor>
    <xdr:from>
      <xdr:col>2</xdr:col>
      <xdr:colOff>0</xdr:colOff>
      <xdr:row>18</xdr:row>
      <xdr:rowOff>141514</xdr:rowOff>
    </xdr:from>
    <xdr:to>
      <xdr:col>10</xdr:col>
      <xdr:colOff>293914</xdr:colOff>
      <xdr:row>28</xdr:row>
      <xdr:rowOff>141514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2835E96C-A4D9-41CF-BD11-B726F19C1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3</xdr:col>
      <xdr:colOff>54260</xdr:colOff>
      <xdr:row>17</xdr:row>
      <xdr:rowOff>178362</xdr:rowOff>
    </xdr:from>
    <xdr:ext cx="1589025" cy="280205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407471F-5373-67FE-81BA-B18352CCF5A7}"/>
            </a:ext>
          </a:extLst>
        </xdr:cNvPr>
        <xdr:cNvSpPr txBox="1"/>
      </xdr:nvSpPr>
      <xdr:spPr>
        <a:xfrm>
          <a:off x="1883060" y="3324333"/>
          <a:ext cx="158902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Stock Balance by Item</a:t>
          </a:r>
        </a:p>
      </xdr:txBody>
    </xdr:sp>
    <xdr:clientData/>
  </xdr:oneCellAnchor>
  <xdr:twoCellAnchor>
    <xdr:from>
      <xdr:col>0</xdr:col>
      <xdr:colOff>305480</xdr:colOff>
      <xdr:row>5</xdr:row>
      <xdr:rowOff>0</xdr:rowOff>
    </xdr:from>
    <xdr:to>
      <xdr:col>1</xdr:col>
      <xdr:colOff>124505</xdr:colOff>
      <xdr:row>5</xdr:row>
      <xdr:rowOff>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2F8B99DD-4F89-4837-A14F-ABB924D68D15}"/>
            </a:ext>
          </a:extLst>
        </xdr:cNvPr>
        <xdr:cNvCxnSpPr/>
      </xdr:nvCxnSpPr>
      <xdr:spPr>
        <a:xfrm>
          <a:off x="305480" y="925286"/>
          <a:ext cx="42862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278501</xdr:colOff>
      <xdr:row>38</xdr:row>
      <xdr:rowOff>60344</xdr:rowOff>
    </xdr:from>
    <xdr:to>
      <xdr:col>1</xdr:col>
      <xdr:colOff>151483</xdr:colOff>
      <xdr:row>41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24E81261-2E55-4416-85E3-D6C36CDD4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501" y="7092515"/>
          <a:ext cx="482582" cy="494828"/>
        </a:xfrm>
        <a:prstGeom prst="rect">
          <a:avLst/>
        </a:prstGeom>
      </xdr:spPr>
    </xdr:pic>
    <xdr:clientData/>
  </xdr:twoCellAnchor>
  <xdr:twoCellAnchor editAs="oneCell">
    <xdr:from>
      <xdr:col>2</xdr:col>
      <xdr:colOff>468088</xdr:colOff>
      <xdr:row>18</xdr:row>
      <xdr:rowOff>43544</xdr:rowOff>
    </xdr:from>
    <xdr:to>
      <xdr:col>3</xdr:col>
      <xdr:colOff>53473</xdr:colOff>
      <xdr:row>19</xdr:row>
      <xdr:rowOff>74840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3B5C49B-C154-4020-3BCB-1C527AEC2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288" y="3374573"/>
          <a:ext cx="194985" cy="216353"/>
        </a:xfrm>
        <a:prstGeom prst="rect">
          <a:avLst/>
        </a:prstGeom>
      </xdr:spPr>
    </xdr:pic>
    <xdr:clientData/>
  </xdr:twoCellAnchor>
  <xdr:twoCellAnchor editAs="oneCell">
    <xdr:from>
      <xdr:col>22</xdr:col>
      <xdr:colOff>375954</xdr:colOff>
      <xdr:row>1</xdr:row>
      <xdr:rowOff>76202</xdr:rowOff>
    </xdr:from>
    <xdr:to>
      <xdr:col>25</xdr:col>
      <xdr:colOff>233654</xdr:colOff>
      <xdr:row>4</xdr:row>
      <xdr:rowOff>90224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E93461A4-730C-46C1-905F-E686BB6D0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87154" y="261259"/>
          <a:ext cx="1686500" cy="56919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808879861113" createdVersion="8" refreshedVersion="8" minRefreshableVersion="3" recordCount="15" xr:uid="{A62B9B36-9B16-41A7-BD61-9540E694958F}">
  <cacheSource type="worksheet">
    <worksheetSource name="Receipt_Data"/>
  </cacheSource>
  <cacheFields count="10">
    <cacheField name="Receipt ID" numFmtId="0">
      <sharedItems/>
    </cacheField>
    <cacheField name="Item Name" numFmtId="0">
      <sharedItems count="15">
        <s v="Meal Boxes (Small)"/>
        <s v="Meal Boxes (Large)"/>
        <s v="Napkins (Pack)"/>
        <s v="Whole Chicken (Frozen)"/>
        <s v="Frying Flour"/>
        <s v="Chicken Breast"/>
        <s v="Chicken Wings"/>
        <s v="Ice Blocks"/>
        <s v="Frying Oil (Palm)"/>
        <s v="Coleslaw Cabbage"/>
        <s v="Soft Drinks (Crate)"/>
        <s v="Seasoning Mix A"/>
        <s v="Pepper (Ground)"/>
        <s v="Hot Sauce"/>
        <s v="LPG Gas Cylinder"/>
      </sharedItems>
    </cacheField>
    <cacheField name="Category" numFmtId="0">
      <sharedItems count="10">
        <s v="Packaging"/>
        <s v="Misc"/>
        <s v="Protein"/>
        <s v="Dry Goods"/>
        <s v="Cooking"/>
        <s v="Vegetable"/>
        <s v="Beverage"/>
        <s v="Seasoning"/>
        <s v="Condiment"/>
        <s v="Utilities"/>
      </sharedItems>
    </cacheField>
    <cacheField name="Qty Received" numFmtId="0">
      <sharedItems containsSemiMixedTypes="0" containsString="0" containsNumber="1" containsInteger="1" minValue="30" maxValue="3000" count="13">
        <n v="3000"/>
        <n v="2000"/>
        <n v="500"/>
        <n v="400"/>
        <n v="300"/>
        <n v="200"/>
        <n v="150"/>
        <n v="120"/>
        <n v="100"/>
        <n v="80"/>
        <n v="60"/>
        <n v="90"/>
        <n v="30"/>
      </sharedItems>
    </cacheField>
    <cacheField name="Unit" numFmtId="0">
      <sharedItems count="7">
        <s v="Pcs"/>
        <s v="Packs"/>
        <s v="KG"/>
        <s v="Bags"/>
        <s v="Litres"/>
        <s v="Crates"/>
        <s v="Units"/>
      </sharedItems>
    </cacheField>
    <cacheField name="Receipt Date" numFmtId="14">
      <sharedItems containsSemiMixedTypes="0" containsNonDate="0" containsDate="1" containsString="0" minDate="2025-03-01T00:00:00" maxDate="2025-03-09T00:00:00"/>
    </cacheField>
    <cacheField name="Supplier" numFmtId="0">
      <sharedItems count="12">
        <s v="PackPro"/>
        <s v="CleanSupply"/>
        <s v="FarmFresh Ltd"/>
        <s v="MillersBest"/>
        <s v="PoultryKing"/>
        <s v="IcePlant"/>
        <s v="OilMart"/>
        <s v="FreshFarm"/>
        <s v="BevCo"/>
        <s v="SpiceWorld"/>
        <s v="SauceHouse"/>
        <s v="GasPlus"/>
      </sharedItems>
    </cacheField>
    <cacheField name="Unit Cost (NGN)" numFmtId="0">
      <sharedItems containsSemiMixedTypes="0" containsString="0" containsNumber="1" containsInteger="1" minValue="100" maxValue="8000"/>
    </cacheField>
    <cacheField name="Total Cost (NGN)" numFmtId="0">
      <sharedItems containsSemiMixedTypes="0" containsString="0" containsNumber="1" containsInteger="1" minValue="48000" maxValue="60000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810706249998" createdVersion="8" refreshedVersion="8" minRefreshableVersion="3" recordCount="15" xr:uid="{49E04ED1-1A5D-46B9-B2E4-BE6BDE884E55}">
  <cacheSource type="worksheet">
    <worksheetSource name="Issuance"/>
  </cacheSource>
  <cacheFields count="10">
    <cacheField name="Issuance ID" numFmtId="0">
      <sharedItems/>
    </cacheField>
    <cacheField name="Item Name" numFmtId="0">
      <sharedItems count="15">
        <s v="Meal Boxes (Small)"/>
        <s v="Meal Boxes (Large)"/>
        <s v="Whole Chicken (Frozen)"/>
        <s v="Frying Flour"/>
        <s v="Chicken Wings"/>
        <s v="Chicken Breast"/>
        <s v="Frying Oil (Palm)"/>
        <s v="Coleslaw Cabbage"/>
        <s v="Hot Sauce"/>
        <s v="Soft Drinks (Crate)"/>
        <s v="Napkins (Pack)"/>
        <s v="Ice Blocks"/>
        <s v="Seasoning Mix A"/>
        <s v="Pepper (Ground)"/>
        <s v="LPG Gas Cylinder"/>
      </sharedItems>
    </cacheField>
    <cacheField name="Category" numFmtId="0">
      <sharedItems count="10">
        <s v="Packaging"/>
        <s v="Protein"/>
        <s v="Dry Goods"/>
        <s v="Cooking"/>
        <s v="Vegetable"/>
        <s v="Condiment"/>
        <s v="Beverage"/>
        <s v="Misc"/>
        <s v="Seasoning"/>
        <s v="Utilities"/>
      </sharedItems>
    </cacheField>
    <cacheField name="Qty Issued" numFmtId="0">
      <sharedItems containsSemiMixedTypes="0" containsString="0" containsNumber="1" containsInteger="1" minValue="8" maxValue="800"/>
    </cacheField>
    <cacheField name="Unit" numFmtId="0">
      <sharedItems/>
    </cacheField>
    <cacheField name="Issue Date" numFmtId="14">
      <sharedItems containsSemiMixedTypes="0" containsNonDate="0" containsDate="1" containsString="0" minDate="2025-03-01T00:00:00" maxDate="2025-03-09T00:00:00" count="8">
        <d v="2025-03-08T00:00:00"/>
        <d v="2025-03-03T00:00:00"/>
        <d v="2025-03-01T00:00:00"/>
        <d v="2025-03-02T00:00:00"/>
        <d v="2025-03-07T00:00:00"/>
        <d v="2025-03-05T00:00:00"/>
        <d v="2025-03-04T00:00:00"/>
        <d v="2025-03-06T00:00:00"/>
      </sharedItems>
    </cacheField>
    <cacheField name="Department" numFmtId="0">
      <sharedItems count="8">
        <s v="Counter - Ikeja"/>
        <s v="Counter - VI"/>
        <s v="Kitchen - Lekki"/>
        <s v="Kitchen - Ikeja"/>
        <s v="Kitchen - VI"/>
        <s v="Counter - Lekki"/>
        <s v="Counter - Surulere"/>
        <s v="Kitchen - Surulere"/>
      </sharedItems>
    </cacheField>
    <cacheField name="Issued By" numFmtId="0">
      <sharedItems/>
    </cacheField>
    <cacheField name="Authorized By" numFmtId="0">
      <sharedItems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94570106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811509259256" createdVersion="8" refreshedVersion="8" minRefreshableVersion="3" recordCount="10" xr:uid="{B85A1754-1BE5-4D3E-9118-F4549B1B51F3}">
  <cacheSource type="worksheet">
    <worksheetSource name="Branch"/>
  </cacheSource>
  <cacheFields count="8">
    <cacheField name="Branch Name" numFmtId="0">
      <sharedItems count="11">
        <s v="Lekki"/>
        <s v="Ikeja"/>
        <s v="Victoria Island"/>
        <s v="Surulere"/>
        <s v="Ajah"/>
        <s v="Yaba"/>
        <s v="Maryland"/>
        <s v="Ikorodu"/>
        <s v="Badagry"/>
        <s v="Festac"/>
        <s v="Formula1" f="1"/>
      </sharedItems>
    </cacheField>
    <cacheField name="Item Name" numFmtId="0">
      <sharedItems/>
    </cacheField>
    <cacheField name="Category" numFmtId="0">
      <sharedItems/>
    </cacheField>
    <cacheField name="Qty Issued" numFmtId="0">
      <sharedItems containsSemiMixedTypes="0" containsString="0" containsNumber="1" containsInteger="1" minValue="90" maxValue="320"/>
    </cacheField>
    <cacheField name="Unit" numFmtId="0">
      <sharedItems/>
    </cacheField>
    <cacheField name="Date" numFmtId="14">
      <sharedItems containsSemiMixedTypes="0" containsNonDate="0" containsDate="1" containsString="0" minDate="2025-03-01T00:00:00" maxDate="2025-03-06T00:00:00"/>
    </cacheField>
    <cacheField name="Issued By" numFmtId="0">
      <sharedItems/>
    </cacheField>
    <cacheField name="Notes" numFmtId="0">
      <sharedItems containsNonDate="0" containsString="0" containsBlank="1"/>
    </cacheField>
  </cacheFields>
  <calculatedItems count="1">
    <calculatedItem>
      <pivotArea cacheIndex="1" outline="0" fieldPosition="0">
        <references count="1">
          <reference field="0" count="1">
            <x v="1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0435524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ACK-002"/>
    <x v="0"/>
    <x v="0"/>
    <x v="0"/>
    <x v="0"/>
    <d v="2025-03-01T00:00:00"/>
    <x v="0"/>
    <n v="150"/>
    <n v="450000"/>
    <m/>
  </r>
  <r>
    <s v="PACK-001"/>
    <x v="1"/>
    <x v="0"/>
    <x v="1"/>
    <x v="0"/>
    <d v="2025-03-01T00:00:00"/>
    <x v="0"/>
    <n v="100"/>
    <n v="200000"/>
    <m/>
  </r>
  <r>
    <s v="NAPK-001"/>
    <x v="2"/>
    <x v="1"/>
    <x v="2"/>
    <x v="1"/>
    <d v="2025-03-02T00:00:00"/>
    <x v="1"/>
    <n v="250"/>
    <n v="125000"/>
    <m/>
  </r>
  <r>
    <s v="CHKN-001"/>
    <x v="3"/>
    <x v="2"/>
    <x v="2"/>
    <x v="2"/>
    <d v="2025-03-02T00:00:00"/>
    <x v="2"/>
    <n v="1200"/>
    <n v="600000"/>
    <m/>
  </r>
  <r>
    <s v="FLOUR-001"/>
    <x v="4"/>
    <x v="3"/>
    <x v="3"/>
    <x v="2"/>
    <d v="2025-03-03T00:00:00"/>
    <x v="3"/>
    <n v="800"/>
    <n v="320000"/>
    <m/>
  </r>
  <r>
    <s v="CHKN-002"/>
    <x v="5"/>
    <x v="2"/>
    <x v="4"/>
    <x v="2"/>
    <d v="2025-03-03T00:00:00"/>
    <x v="2"/>
    <n v="1800"/>
    <n v="540000"/>
    <m/>
  </r>
  <r>
    <s v="CHKN-003"/>
    <x v="6"/>
    <x v="2"/>
    <x v="5"/>
    <x v="2"/>
    <d v="2025-03-04T00:00:00"/>
    <x v="4"/>
    <n v="1500"/>
    <n v="300000"/>
    <m/>
  </r>
  <r>
    <s v="ICE-001"/>
    <x v="7"/>
    <x v="1"/>
    <x v="5"/>
    <x v="3"/>
    <d v="2025-03-04T00:00:00"/>
    <x v="5"/>
    <n v="500"/>
    <n v="100000"/>
    <m/>
  </r>
  <r>
    <s v="OIL-001"/>
    <x v="8"/>
    <x v="4"/>
    <x v="6"/>
    <x v="4"/>
    <d v="2025-03-05T00:00:00"/>
    <x v="6"/>
    <n v="900"/>
    <n v="135000"/>
    <m/>
  </r>
  <r>
    <s v="VEG-001"/>
    <x v="9"/>
    <x v="5"/>
    <x v="7"/>
    <x v="2"/>
    <d v="2025-03-05T00:00:00"/>
    <x v="7"/>
    <n v="400"/>
    <n v="48000"/>
    <m/>
  </r>
  <r>
    <s v="DRINK-001"/>
    <x v="10"/>
    <x v="6"/>
    <x v="8"/>
    <x v="5"/>
    <d v="2025-03-06T00:00:00"/>
    <x v="8"/>
    <n v="4500"/>
    <n v="450000"/>
    <m/>
  </r>
  <r>
    <s v="SPCE-001"/>
    <x v="11"/>
    <x v="7"/>
    <x v="9"/>
    <x v="2"/>
    <d v="2025-03-06T00:00:00"/>
    <x v="9"/>
    <n v="2500"/>
    <n v="200000"/>
    <m/>
  </r>
  <r>
    <s v="SPCE-002"/>
    <x v="12"/>
    <x v="7"/>
    <x v="10"/>
    <x v="2"/>
    <d v="2025-03-07T00:00:00"/>
    <x v="9"/>
    <n v="3000"/>
    <n v="180000"/>
    <m/>
  </r>
  <r>
    <s v="SAUCE-001"/>
    <x v="13"/>
    <x v="8"/>
    <x v="11"/>
    <x v="4"/>
    <d v="2025-03-07T00:00:00"/>
    <x v="10"/>
    <n v="1200"/>
    <n v="108000"/>
    <m/>
  </r>
  <r>
    <s v="GAS-001"/>
    <x v="14"/>
    <x v="9"/>
    <x v="12"/>
    <x v="6"/>
    <d v="2025-03-08T00:00:00"/>
    <x v="11"/>
    <n v="8000"/>
    <n v="240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ISS-015"/>
    <x v="0"/>
    <x v="0"/>
    <n v="800"/>
    <s v="Pcs"/>
    <x v="0"/>
    <x v="0"/>
    <s v="Emeka O."/>
    <s v="Manager C"/>
    <m/>
  </r>
  <r>
    <s v="ISS-006"/>
    <x v="1"/>
    <x v="0"/>
    <n v="600"/>
    <s v="Pcs"/>
    <x v="1"/>
    <x v="1"/>
    <s v="Bola T."/>
    <s v="Manager B"/>
    <m/>
  </r>
  <r>
    <s v="ISS-001"/>
    <x v="2"/>
    <x v="1"/>
    <n v="120"/>
    <s v="KG"/>
    <x v="2"/>
    <x v="2"/>
    <s v="Ade John"/>
    <s v="Manager A"/>
    <m/>
  </r>
  <r>
    <s v="ISS-005"/>
    <x v="3"/>
    <x v="2"/>
    <n v="100"/>
    <s v="KG"/>
    <x v="1"/>
    <x v="3"/>
    <s v="Emeka O."/>
    <s v="Manager C"/>
    <m/>
  </r>
  <r>
    <s v="ISS-004"/>
    <x v="4"/>
    <x v="1"/>
    <n v="80"/>
    <s v="KG"/>
    <x v="3"/>
    <x v="2"/>
    <s v="Ade John"/>
    <s v="Manager A"/>
    <m/>
  </r>
  <r>
    <s v="ISS-014"/>
    <x v="5"/>
    <x v="1"/>
    <n v="75"/>
    <s v="KG"/>
    <x v="4"/>
    <x v="3"/>
    <s v="Emeka O."/>
    <s v="Manager C"/>
    <m/>
  </r>
  <r>
    <s v="ISS-002"/>
    <x v="6"/>
    <x v="3"/>
    <n v="40"/>
    <s v="Litres"/>
    <x v="2"/>
    <x v="4"/>
    <s v="Bola T."/>
    <s v="Manager B"/>
    <m/>
  </r>
  <r>
    <s v="ISS-010"/>
    <x v="7"/>
    <x v="4"/>
    <n v="30"/>
    <s v="KG"/>
    <x v="5"/>
    <x v="3"/>
    <s v="Emeka O."/>
    <s v="Manager C"/>
    <m/>
  </r>
  <r>
    <s v="ISS-009"/>
    <x v="8"/>
    <x v="5"/>
    <n v="25"/>
    <s v="Litres"/>
    <x v="5"/>
    <x v="4"/>
    <s v="Bola T."/>
    <s v="Manager B"/>
    <m/>
  </r>
  <r>
    <s v="ISS-008"/>
    <x v="9"/>
    <x v="6"/>
    <n v="20"/>
    <s v="Crates"/>
    <x v="6"/>
    <x v="5"/>
    <s v="Ade John"/>
    <s v="Manager A"/>
    <m/>
  </r>
  <r>
    <s v="ISS-011"/>
    <x v="10"/>
    <x v="7"/>
    <n v="150"/>
    <s v="Packs"/>
    <x v="7"/>
    <x v="6"/>
    <s v="Chidi K."/>
    <s v="Manager A"/>
    <m/>
  </r>
  <r>
    <s v="ISS-013"/>
    <x v="11"/>
    <x v="7"/>
    <n v="50"/>
    <s v="Bags"/>
    <x v="4"/>
    <x v="1"/>
    <s v="Bola T."/>
    <s v="Manager B"/>
    <m/>
  </r>
  <r>
    <s v="ISS-003"/>
    <x v="12"/>
    <x v="8"/>
    <n v="20"/>
    <s v="KG"/>
    <x v="3"/>
    <x v="7"/>
    <s v="Chidi K."/>
    <s v="Manager A"/>
    <m/>
  </r>
  <r>
    <s v="ISS-007"/>
    <x v="13"/>
    <x v="8"/>
    <n v="15"/>
    <s v="KG"/>
    <x v="6"/>
    <x v="7"/>
    <s v="Chidi K."/>
    <s v="Manager A"/>
    <m/>
  </r>
  <r>
    <s v="ISS-012"/>
    <x v="14"/>
    <x v="9"/>
    <n v="8"/>
    <s v="Units"/>
    <x v="7"/>
    <x v="2"/>
    <s v="Ade John"/>
    <s v="Manager A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Whole Chicken (Frozen)"/>
    <s v="Protein"/>
    <n v="320"/>
    <s v="KG"/>
    <d v="2025-03-01T00:00:00"/>
    <s v="Ade John"/>
    <m/>
  </r>
  <r>
    <x v="1"/>
    <s v="Meal Boxes (Large)"/>
    <s v="Packaging"/>
    <n v="280"/>
    <s v="Pcs"/>
    <d v="2025-03-02T00:00:00"/>
    <s v="Emeka O."/>
    <m/>
  </r>
  <r>
    <x v="2"/>
    <s v="Frying Oil (Palm)"/>
    <s v="Cooking"/>
    <n v="210"/>
    <s v="Litres"/>
    <d v="2025-03-01T00:00:00"/>
    <s v="Bola T."/>
    <m/>
  </r>
  <r>
    <x v="3"/>
    <s v="Frying Flour"/>
    <s v="Dry Goods"/>
    <n v="190"/>
    <s v="KG"/>
    <d v="2025-03-02T00:00:00"/>
    <s v="Chidi K."/>
    <m/>
  </r>
  <r>
    <x v="4"/>
    <s v="Chicken Wings"/>
    <s v="Protein"/>
    <n v="170"/>
    <s v="KG"/>
    <d v="2025-03-03T00:00:00"/>
    <s v="Tunde F."/>
    <m/>
  </r>
  <r>
    <x v="5"/>
    <s v="Seasoning Mix A"/>
    <s v="Seasoning"/>
    <n v="145"/>
    <s v="KG"/>
    <d v="2025-03-03T00:00:00"/>
    <s v="Kemi S."/>
    <m/>
  </r>
  <r>
    <x v="6"/>
    <s v="Pepper (Ground)"/>
    <s v="Seasoning"/>
    <n v="130"/>
    <s v="KG"/>
    <d v="2025-03-04T00:00:00"/>
    <s v="Dayo R."/>
    <m/>
  </r>
  <r>
    <x v="7"/>
    <s v="Hot Sauce"/>
    <s v="Condiment"/>
    <n v="115"/>
    <s v="Litres"/>
    <d v="2025-03-04T00:00:00"/>
    <s v="Nkem P."/>
    <m/>
  </r>
  <r>
    <x v="8"/>
    <s v="Soft Drinks (Crate)"/>
    <s v="Beverage"/>
    <n v="98"/>
    <s v="Crates"/>
    <d v="2025-03-05T00:00:00"/>
    <s v="Seun M."/>
    <m/>
  </r>
  <r>
    <x v="9"/>
    <s v="Napkins (Pack)"/>
    <s v="Misc"/>
    <n v="90"/>
    <s v="Packs"/>
    <d v="2025-03-05T00:00:00"/>
    <s v="Lanre A.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C0611-A537-4DFA-9650-192588A0B7B2}" name="Receipts_Tabl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O2" firstHeaderRow="1" firstDataRow="1" firstDataCol="0"/>
  <pivotFields count="10"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Items Receive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F7C4D-7029-457D-BC84-11D2CA61EDEA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8:G24" firstHeaderRow="1" firstDataRow="1" firstDataCol="1"/>
  <pivotFields count="10">
    <pivotField showAll="0"/>
    <pivotField showAll="0"/>
    <pivotField showAll="0"/>
    <pivotField showAll="0"/>
    <pivotField showAll="0">
      <items count="8">
        <item x="3"/>
        <item x="5"/>
        <item x="2"/>
        <item x="4"/>
        <item x="1"/>
        <item x="0"/>
        <item x="6"/>
        <item t="default"/>
      </items>
    </pivotField>
    <pivotField numFmtId="14" showAll="0"/>
    <pivotField axis="axisRow" showAll="0" measureFilter="1">
      <items count="13">
        <item x="8"/>
        <item x="1"/>
        <item x="2"/>
        <item x="7"/>
        <item x="11"/>
        <item x="5"/>
        <item x="3"/>
        <item x="6"/>
        <item x="0"/>
        <item x="4"/>
        <item x="10"/>
        <item x="9"/>
        <item t="default"/>
      </items>
    </pivotField>
    <pivotField dataField="1" showAll="0"/>
    <pivotField showAll="0"/>
    <pivotField showAll="0"/>
  </pivotFields>
  <rowFields count="1">
    <field x="6"/>
  </rowFields>
  <rowItems count="6">
    <i>
      <x/>
    </i>
    <i>
      <x v="2"/>
    </i>
    <i>
      <x v="4"/>
    </i>
    <i>
      <x v="9"/>
    </i>
    <i>
      <x v="11"/>
    </i>
    <i t="grand">
      <x/>
    </i>
  </rowItems>
  <colItems count="1">
    <i/>
  </colItems>
  <dataFields count="1">
    <dataField name="Sum of Unit Cost (NGN)" fld="7" baseField="0" baseItem="0"/>
  </dataFields>
  <chartFormats count="6"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F5552-B585-4F1D-85BD-BBB6652B94C3}" name="PivotTable2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0">
  <location ref="A17:C28" firstHeaderRow="0" firstDataRow="1" firstDataCol="1"/>
  <pivotFields count="10">
    <pivotField showAll="0"/>
    <pivotField axis="axisRow" showAll="0" measureFilter="1">
      <items count="16">
        <item x="5"/>
        <item x="6"/>
        <item x="9"/>
        <item x="4"/>
        <item x="8"/>
        <item x="13"/>
        <item x="7"/>
        <item x="14"/>
        <item x="1"/>
        <item x="0"/>
        <item x="2"/>
        <item x="12"/>
        <item x="11"/>
        <item x="10"/>
        <item x="3"/>
        <item t="default"/>
      </items>
    </pivotField>
    <pivotField showAll="0"/>
    <pivotField dataField="1" showAll="0">
      <items count="14">
        <item x="12"/>
        <item x="10"/>
        <item x="9"/>
        <item x="11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4"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Received" fld="3" baseField="0" baseItem="0"/>
    <dataField name="Sum of Unit Cost (NGN)" fld="7" baseField="0" baseItem="0"/>
  </dataFields>
  <chartFormats count="12">
    <chartFormat chart="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3DA02-70D7-46D4-9BAA-8FED7857DA3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M2" firstHeaderRow="1" firstDataRow="1" firstDataCol="0"/>
  <pivotFields count="10"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Items Issue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CD751-4D2B-4F6D-A32D-FF062ED6133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7:B28" firstHeaderRow="1" firstDataRow="1" firstDataCol="1"/>
  <pivotFields count="10">
    <pivotField showAll="0"/>
    <pivotField axis="axisRow" showAll="0" measureFilter="1">
      <items count="16">
        <item x="14"/>
        <item x="5"/>
        <item x="4"/>
        <item x="7"/>
        <item x="3"/>
        <item x="6"/>
        <item x="8"/>
        <item x="11"/>
        <item x="1"/>
        <item x="0"/>
        <item x="10"/>
        <item x="13"/>
        <item x="12"/>
        <item x="9"/>
        <item x="2"/>
        <item t="default"/>
      </items>
    </pivotField>
    <pivotField showAll="0">
      <items count="11">
        <item x="6"/>
        <item x="5"/>
        <item x="3"/>
        <item x="2"/>
        <item x="7"/>
        <item x="0"/>
        <item x="1"/>
        <item x="8"/>
        <item x="9"/>
        <item x="4"/>
        <item t="default"/>
      </items>
    </pivotField>
    <pivotField dataField="1" showAll="0"/>
    <pivotField showAll="0"/>
    <pivotField numFmtId="14" showAll="0">
      <items count="9">
        <item x="2"/>
        <item h="1" x="3"/>
        <item h="1" x="1"/>
        <item h="1" x="6"/>
        <item h="1" x="5"/>
        <item h="1" x="7"/>
        <item h="1" x="4"/>
        <item h="1" x="0"/>
        <item t="default"/>
      </items>
    </pivotField>
    <pivotField showAll="0">
      <items count="9">
        <item x="0"/>
        <item x="5"/>
        <item x="6"/>
        <item x="1"/>
        <item x="3"/>
        <item x="2"/>
        <item x="7"/>
        <item x="4"/>
        <item t="default"/>
      </items>
    </pivotField>
    <pivotField showAll="0"/>
    <pivotField showAll="0"/>
    <pivotField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4"/>
    </i>
    <i t="grand">
      <x/>
    </i>
  </rowItems>
  <colItems count="1">
    <i/>
  </colItems>
  <dataFields count="1">
    <dataField name="Sum of Qty Issued" fld="3" baseField="0" baseItem="0"/>
  </dataFields>
  <chartFormats count="1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2553C-1901-4307-9D0B-DA5105ED2C92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12:B23" firstHeaderRow="1" firstDataRow="1" firstDataCol="1"/>
  <pivotFields count="8">
    <pivotField axis="axisRow" showAll="0" measureFilter="1">
      <items count="12">
        <item x="4"/>
        <item x="8"/>
        <item x="9"/>
        <item x="1"/>
        <item x="7"/>
        <item x="0"/>
        <item x="6"/>
        <item x="3"/>
        <item x="2"/>
        <item x="5"/>
        <item f="1" x="10"/>
        <item t="default"/>
      </items>
    </pivotField>
    <pivotField showAll="0"/>
    <pivotField showAll="0"/>
    <pivotField dataField="1" showAll="0"/>
    <pivotField showAll="0"/>
    <pivotField numFmtId="14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ty Issued" fld="3" baseField="0" baseItem="0"/>
  </dataFields>
  <chartFormats count="1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518C0-8014-4DC1-BE71-3E40B9112F5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M2" firstHeaderRow="1" firstDataRow="1" firstDataCol="0"/>
  <pivotFields count="8">
    <pivotField dataField="1" showAll="0">
      <items count="12">
        <item x="4"/>
        <item x="8"/>
        <item x="9"/>
        <item x="1"/>
        <item x="7"/>
        <item x="0"/>
        <item x="6"/>
        <item x="3"/>
        <item x="2"/>
        <item x="5"/>
        <item f="1"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dataFields count="1">
    <dataField name="Active Branch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48023-77FD-411B-9426-6B1B6ECB7A9A}" name="Receipt_Data" displayName="Receipt_Data" ref="H5:Q20" totalsRowShown="0">
  <autoFilter ref="H5:Q20" xr:uid="{97048023-77FD-411B-9426-6B1B6ECB7A9A}"/>
  <tableColumns count="10">
    <tableColumn id="1" xr3:uid="{EC9659FD-DD0F-4702-BEBD-7968AF6A7B55}" name="Receipt ID"/>
    <tableColumn id="2" xr3:uid="{EE826376-F6D2-4ED6-A56A-D2E2092E5FB8}" name="Item Name"/>
    <tableColumn id="3" xr3:uid="{E80D4D9E-2724-4B94-B9C2-5F0F0633FB7F}" name="Category"/>
    <tableColumn id="4" xr3:uid="{5AE7428E-534C-4ED9-8BB2-21B67B18455F}" name="Qty Received"/>
    <tableColumn id="5" xr3:uid="{AA5CAAC5-9395-41B1-8CBE-AB942FBC3EAB}" name="Unit"/>
    <tableColumn id="6" xr3:uid="{A7E2380A-E16C-4245-91E9-25671D7C7900}" name="Receipt Date" dataDxfId="2"/>
    <tableColumn id="7" xr3:uid="{E7F852F1-A45A-40AE-9802-D85551A1F163}" name="Supplier"/>
    <tableColumn id="8" xr3:uid="{14B06BD5-36A8-4BA2-9F8A-F6893DF47F7C}" name="Unit Cost (NGN)"/>
    <tableColumn id="9" xr3:uid="{CD47D5F2-109D-4689-AD89-D54814318414}" name="Total Cost (NGN)"/>
    <tableColumn id="10" xr3:uid="{011041BB-2375-4D17-AA15-CCEF722C6837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6C50F-0192-44D3-BB6D-819E0709BDCA}" name="Issuance" displayName="Issuance" ref="A1:J16" totalsRowShown="0">
  <autoFilter ref="A1:J16" xr:uid="{A076C50F-0192-44D3-BB6D-819E0709BDCA}"/>
  <tableColumns count="10">
    <tableColumn id="1" xr3:uid="{ED6E77DC-3989-43DB-822F-052CD800CC54}" name="Issuance ID"/>
    <tableColumn id="2" xr3:uid="{F0C4DC01-8D98-4BDF-AC09-9993083057EF}" name="Item Name"/>
    <tableColumn id="3" xr3:uid="{09FB9924-1749-47BF-803B-DF508019BE16}" name="Category"/>
    <tableColumn id="4" xr3:uid="{22F6F6FC-BBF8-45BB-9BF0-0CBA3DF5E711}" name="Qty Issued"/>
    <tableColumn id="5" xr3:uid="{D8CD858E-7DBE-4AAA-9626-470CDB888E2B}" name="Unit"/>
    <tableColumn id="6" xr3:uid="{CCB27FB2-F000-4761-A652-73B9D3B20905}" name="Issue Date" dataDxfId="1"/>
    <tableColumn id="7" xr3:uid="{F04303C3-44F6-470F-AB17-268CFC9979CD}" name="Department"/>
    <tableColumn id="8" xr3:uid="{DA738E3D-59D2-4815-8DCF-93D90E703C36}" name="Issued By"/>
    <tableColumn id="9" xr3:uid="{2CC3419F-15EC-4967-8B0F-73147589BCB5}" name="Authorized By"/>
    <tableColumn id="10" xr3:uid="{E7779458-1EA5-4845-BAAD-D3C452E91909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F196ED-5699-45B6-9D51-5D6F2DA0FBD9}" name="Branch" displayName="Branch" ref="A1:H11" totalsRowShown="0">
  <autoFilter ref="A1:H11" xr:uid="{60F196ED-5699-45B6-9D51-5D6F2DA0FBD9}"/>
  <tableColumns count="8">
    <tableColumn id="1" xr3:uid="{DD399F63-C998-44BD-9788-AD5028733EAB}" name="Branch Name"/>
    <tableColumn id="2" xr3:uid="{ECBE94E0-F5C2-422D-AE92-A7BE80BA3EED}" name="Item Name"/>
    <tableColumn id="3" xr3:uid="{32C0185E-F4B8-4924-A906-07A05D6558E4}" name="Category"/>
    <tableColumn id="4" xr3:uid="{20A5AA6C-556F-4EED-804B-51C7F4BBD7C6}" name="Qty Issued"/>
    <tableColumn id="5" xr3:uid="{CBAC3C44-DCD6-4441-88FE-82BA7BAC916D}" name="Unit"/>
    <tableColumn id="6" xr3:uid="{7DA5FA12-0280-455E-BEA1-70DCD1FFE190}" name="Date" dataDxfId="0"/>
    <tableColumn id="7" xr3:uid="{9425D7EB-D94D-4F63-8815-C483AF7F0614}" name="Issued By"/>
    <tableColumn id="8" xr3:uid="{EF17C9C2-EEE1-4A85-A777-ABD1BCE273E4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3B25-D662-4376-B01C-B4E04E6F7403}">
  <sheetPr codeName="Sheet1">
    <tabColor rgb="FFC00000"/>
  </sheetPr>
  <dimension ref="AD15"/>
  <sheetViews>
    <sheetView showGridLines="0" showRowColHeaders="0" tabSelected="1" zoomScale="70" zoomScaleNormal="70" workbookViewId="0">
      <selection activeCell="AB26" sqref="AB26"/>
    </sheetView>
  </sheetViews>
  <sheetFormatPr defaultRowHeight="14.4" x14ac:dyDescent="0.3"/>
  <cols>
    <col min="1" max="16384" width="8.88671875" style="1"/>
  </cols>
  <sheetData>
    <row r="15" spans="30:30" x14ac:dyDescent="0.3">
      <c r="AD15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F068-8C62-46DD-87B2-4081E01964E3}">
  <sheetPr codeName="Sheet2">
    <tabColor rgb="FFFFFF00"/>
  </sheetPr>
  <dimension ref="A1:Q28"/>
  <sheetViews>
    <sheetView zoomScale="77" zoomScaleNormal="77" workbookViewId="0">
      <selection activeCell="B8" sqref="B8"/>
    </sheetView>
  </sheetViews>
  <sheetFormatPr defaultRowHeight="14.4" x14ac:dyDescent="0.3"/>
  <cols>
    <col min="1" max="1" width="20.33203125" bestFit="1" customWidth="1"/>
    <col min="2" max="2" width="18.88671875" bestFit="1" customWidth="1"/>
    <col min="3" max="3" width="21" bestFit="1" customWidth="1"/>
    <col min="4" max="4" width="16.21875" bestFit="1" customWidth="1"/>
    <col min="5" max="5" width="10.77734375" bestFit="1" customWidth="1"/>
    <col min="6" max="6" width="13.33203125" bestFit="1" customWidth="1"/>
    <col min="7" max="7" width="21" bestFit="1" customWidth="1"/>
    <col min="8" max="8" width="12.5546875" bestFit="1" customWidth="1"/>
    <col min="9" max="9" width="20.33203125" bestFit="1" customWidth="1"/>
    <col min="10" max="10" width="11.5546875" bestFit="1" customWidth="1"/>
    <col min="11" max="11" width="15.109375" bestFit="1" customWidth="1"/>
    <col min="12" max="12" width="7.44140625" bestFit="1" customWidth="1"/>
    <col min="13" max="13" width="14.6640625" bestFit="1" customWidth="1"/>
    <col min="14" max="14" width="12.5546875" bestFit="1" customWidth="1"/>
    <col min="15" max="15" width="18.88671875" bestFit="1" customWidth="1"/>
    <col min="16" max="16" width="18" bestFit="1" customWidth="1"/>
    <col min="17" max="17" width="8.88671875" bestFit="1" customWidth="1"/>
  </cols>
  <sheetData>
    <row r="1" spans="1:17" x14ac:dyDescent="0.3">
      <c r="A1" t="str" cm="1">
        <f t="array" ref="A1:A16">_xlfn.UNIQUE(I:I,FALSE,TRUE)</f>
        <v>Item Name</v>
      </c>
      <c r="B1" t="s">
        <v>131</v>
      </c>
      <c r="C1" t="s">
        <v>132</v>
      </c>
      <c r="D1" t="s">
        <v>133</v>
      </c>
      <c r="O1" t="s">
        <v>127</v>
      </c>
    </row>
    <row r="2" spans="1:17" x14ac:dyDescent="0.3">
      <c r="A2" t="str">
        <v>Meal Boxes (Small)</v>
      </c>
      <c r="B2">
        <f>_xlfn.XLOOKUP(A2,I:I,K:K,0)</f>
        <v>3000</v>
      </c>
      <c r="C2">
        <f>_xlfn.XLOOKUP(A2,Issuance!B:B,Issuance!D:D,0)</f>
        <v>800</v>
      </c>
      <c r="D2">
        <f t="shared" ref="D2:D16" si="0">B2-C2</f>
        <v>2200</v>
      </c>
      <c r="O2">
        <v>7730</v>
      </c>
    </row>
    <row r="3" spans="1:17" x14ac:dyDescent="0.3">
      <c r="A3" t="str">
        <v>Meal Boxes (Large)</v>
      </c>
      <c r="B3">
        <f t="shared" ref="B3:B16" si="1">_xlfn.XLOOKUP(A3,I:I,K:K,0)</f>
        <v>2000</v>
      </c>
      <c r="C3">
        <f>_xlfn.XLOOKUP(A3,Issuance!B:B,Issuance!D:D,0)</f>
        <v>600</v>
      </c>
      <c r="D3">
        <f t="shared" si="0"/>
        <v>1400</v>
      </c>
    </row>
    <row r="4" spans="1:17" x14ac:dyDescent="0.3">
      <c r="A4" t="str">
        <v>Napkins (Pack)</v>
      </c>
      <c r="B4">
        <f t="shared" si="1"/>
        <v>500</v>
      </c>
      <c r="C4">
        <f>_xlfn.XLOOKUP(A4,Issuance!B:B,Issuance!D:D,0)</f>
        <v>150</v>
      </c>
      <c r="D4">
        <f t="shared" si="0"/>
        <v>350</v>
      </c>
    </row>
    <row r="5" spans="1:17" x14ac:dyDescent="0.3">
      <c r="A5" t="str">
        <v>Whole Chicken (Frozen)</v>
      </c>
      <c r="B5">
        <f t="shared" si="1"/>
        <v>500</v>
      </c>
      <c r="C5">
        <f>_xlfn.XLOOKUP(A5,Issuance!B:B,Issuance!D:D,0)</f>
        <v>120</v>
      </c>
      <c r="D5">
        <f t="shared" si="0"/>
        <v>380</v>
      </c>
      <c r="H5" t="s">
        <v>0</v>
      </c>
      <c r="I5" t="s">
        <v>1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P5" t="s">
        <v>8</v>
      </c>
      <c r="Q5" t="s">
        <v>9</v>
      </c>
    </row>
    <row r="6" spans="1:17" x14ac:dyDescent="0.3">
      <c r="A6" t="str">
        <v>Frying Flour</v>
      </c>
      <c r="B6">
        <f t="shared" si="1"/>
        <v>400</v>
      </c>
      <c r="C6">
        <f>_xlfn.XLOOKUP(A6,Issuance!B:B,Issuance!D:D,0)</f>
        <v>100</v>
      </c>
      <c r="D6">
        <f t="shared" si="0"/>
        <v>300</v>
      </c>
      <c r="H6" t="s">
        <v>10</v>
      </c>
      <c r="I6" t="s">
        <v>11</v>
      </c>
      <c r="J6" t="s">
        <v>12</v>
      </c>
      <c r="K6">
        <v>3000</v>
      </c>
      <c r="L6" t="s">
        <v>13</v>
      </c>
      <c r="M6" s="2">
        <v>45717</v>
      </c>
      <c r="N6" t="s">
        <v>14</v>
      </c>
      <c r="O6">
        <v>150</v>
      </c>
      <c r="P6">
        <v>450000</v>
      </c>
    </row>
    <row r="7" spans="1:17" x14ac:dyDescent="0.3">
      <c r="A7" t="str">
        <v>Chicken Breast</v>
      </c>
      <c r="B7">
        <f t="shared" si="1"/>
        <v>300</v>
      </c>
      <c r="C7">
        <f>_xlfn.XLOOKUP(A7,Issuance!B:B,Issuance!D:D,0)</f>
        <v>75</v>
      </c>
      <c r="D7">
        <f t="shared" si="0"/>
        <v>225</v>
      </c>
      <c r="H7" t="s">
        <v>15</v>
      </c>
      <c r="I7" t="s">
        <v>16</v>
      </c>
      <c r="J7" t="s">
        <v>12</v>
      </c>
      <c r="K7">
        <v>2000</v>
      </c>
      <c r="L7" t="s">
        <v>13</v>
      </c>
      <c r="M7" s="2">
        <v>45717</v>
      </c>
      <c r="N7" t="s">
        <v>14</v>
      </c>
      <c r="O7">
        <v>100</v>
      </c>
      <c r="P7">
        <v>200000</v>
      </c>
    </row>
    <row r="8" spans="1:17" x14ac:dyDescent="0.3">
      <c r="A8" t="str">
        <v>Chicken Wings</v>
      </c>
      <c r="B8">
        <f t="shared" si="1"/>
        <v>200</v>
      </c>
      <c r="C8">
        <f>_xlfn.XLOOKUP(A8,Issuance!B:B,Issuance!D:D,0)</f>
        <v>80</v>
      </c>
      <c r="D8">
        <f t="shared" si="0"/>
        <v>120</v>
      </c>
      <c r="H8" t="s">
        <v>17</v>
      </c>
      <c r="I8" t="s">
        <v>18</v>
      </c>
      <c r="J8" t="s">
        <v>19</v>
      </c>
      <c r="K8">
        <v>500</v>
      </c>
      <c r="L8" t="s">
        <v>20</v>
      </c>
      <c r="M8" s="2">
        <v>45718</v>
      </c>
      <c r="N8" t="s">
        <v>21</v>
      </c>
      <c r="O8">
        <v>250</v>
      </c>
      <c r="P8">
        <v>125000</v>
      </c>
    </row>
    <row r="9" spans="1:17" x14ac:dyDescent="0.3">
      <c r="A9" t="str">
        <v>Ice Blocks</v>
      </c>
      <c r="B9">
        <f t="shared" si="1"/>
        <v>200</v>
      </c>
      <c r="C9">
        <f>_xlfn.XLOOKUP(A9,Issuance!B:B,Issuance!D:D,0)</f>
        <v>50</v>
      </c>
      <c r="D9">
        <f t="shared" si="0"/>
        <v>150</v>
      </c>
      <c r="H9" t="s">
        <v>22</v>
      </c>
      <c r="I9" t="s">
        <v>23</v>
      </c>
      <c r="J9" t="s">
        <v>24</v>
      </c>
      <c r="K9">
        <v>500</v>
      </c>
      <c r="L9" t="s">
        <v>25</v>
      </c>
      <c r="M9" s="2">
        <v>45718</v>
      </c>
      <c r="N9" t="s">
        <v>26</v>
      </c>
      <c r="O9">
        <v>1200</v>
      </c>
      <c r="P9">
        <v>600000</v>
      </c>
    </row>
    <row r="10" spans="1:17" x14ac:dyDescent="0.3">
      <c r="A10" t="str">
        <v>Frying Oil (Palm)</v>
      </c>
      <c r="B10">
        <f t="shared" si="1"/>
        <v>150</v>
      </c>
      <c r="C10">
        <f>_xlfn.XLOOKUP(A10,Issuance!B:B,Issuance!D:D,0)</f>
        <v>40</v>
      </c>
      <c r="D10">
        <f t="shared" si="0"/>
        <v>110</v>
      </c>
      <c r="H10" t="s">
        <v>27</v>
      </c>
      <c r="I10" t="s">
        <v>28</v>
      </c>
      <c r="J10" t="s">
        <v>29</v>
      </c>
      <c r="K10">
        <v>400</v>
      </c>
      <c r="L10" t="s">
        <v>25</v>
      </c>
      <c r="M10" s="2">
        <v>45719</v>
      </c>
      <c r="N10" t="s">
        <v>30</v>
      </c>
      <c r="O10">
        <v>800</v>
      </c>
      <c r="P10">
        <v>320000</v>
      </c>
    </row>
    <row r="11" spans="1:17" x14ac:dyDescent="0.3">
      <c r="A11" t="str">
        <v>Coleslaw Cabbage</v>
      </c>
      <c r="B11">
        <f t="shared" si="1"/>
        <v>120</v>
      </c>
      <c r="C11">
        <f>_xlfn.XLOOKUP(A11,Issuance!B:B,Issuance!D:D,0)</f>
        <v>30</v>
      </c>
      <c r="D11">
        <f t="shared" si="0"/>
        <v>90</v>
      </c>
      <c r="H11" t="s">
        <v>31</v>
      </c>
      <c r="I11" t="s">
        <v>32</v>
      </c>
      <c r="J11" t="s">
        <v>24</v>
      </c>
      <c r="K11">
        <v>300</v>
      </c>
      <c r="L11" t="s">
        <v>25</v>
      </c>
      <c r="M11" s="2">
        <v>45719</v>
      </c>
      <c r="N11" t="s">
        <v>26</v>
      </c>
      <c r="O11">
        <v>1800</v>
      </c>
      <c r="P11">
        <v>540000</v>
      </c>
    </row>
    <row r="12" spans="1:17" x14ac:dyDescent="0.3">
      <c r="A12" t="str">
        <v>Soft Drinks (Crate)</v>
      </c>
      <c r="B12">
        <f t="shared" si="1"/>
        <v>100</v>
      </c>
      <c r="C12">
        <f>_xlfn.XLOOKUP(A12,Issuance!B:B,Issuance!D:D,0)</f>
        <v>20</v>
      </c>
      <c r="D12">
        <f t="shared" si="0"/>
        <v>80</v>
      </c>
      <c r="H12" t="s">
        <v>33</v>
      </c>
      <c r="I12" t="s">
        <v>34</v>
      </c>
      <c r="J12" t="s">
        <v>24</v>
      </c>
      <c r="K12">
        <v>200</v>
      </c>
      <c r="L12" t="s">
        <v>25</v>
      </c>
      <c r="M12" s="2">
        <v>45720</v>
      </c>
      <c r="N12" t="s">
        <v>35</v>
      </c>
      <c r="O12">
        <v>1500</v>
      </c>
      <c r="P12">
        <v>300000</v>
      </c>
    </row>
    <row r="13" spans="1:17" x14ac:dyDescent="0.3">
      <c r="A13" t="str">
        <v>Seasoning Mix A</v>
      </c>
      <c r="B13">
        <f t="shared" si="1"/>
        <v>80</v>
      </c>
      <c r="C13">
        <f>_xlfn.XLOOKUP(A13,Issuance!B:B,Issuance!D:D,0)</f>
        <v>20</v>
      </c>
      <c r="D13">
        <f t="shared" si="0"/>
        <v>60</v>
      </c>
      <c r="H13" t="s">
        <v>36</v>
      </c>
      <c r="I13" t="s">
        <v>37</v>
      </c>
      <c r="J13" t="s">
        <v>19</v>
      </c>
      <c r="K13">
        <v>200</v>
      </c>
      <c r="L13" t="s">
        <v>38</v>
      </c>
      <c r="M13" s="2">
        <v>45720</v>
      </c>
      <c r="N13" t="s">
        <v>39</v>
      </c>
      <c r="O13">
        <v>500</v>
      </c>
      <c r="P13">
        <v>100000</v>
      </c>
    </row>
    <row r="14" spans="1:17" x14ac:dyDescent="0.3">
      <c r="A14" t="str">
        <v>Pepper (Ground)</v>
      </c>
      <c r="B14">
        <f t="shared" si="1"/>
        <v>60</v>
      </c>
      <c r="C14">
        <f>_xlfn.XLOOKUP(A14,Issuance!B:B,Issuance!D:D,0)</f>
        <v>15</v>
      </c>
      <c r="D14">
        <f t="shared" si="0"/>
        <v>45</v>
      </c>
      <c r="H14" t="s">
        <v>40</v>
      </c>
      <c r="I14" t="s">
        <v>41</v>
      </c>
      <c r="J14" t="s">
        <v>42</v>
      </c>
      <c r="K14">
        <v>150</v>
      </c>
      <c r="L14" t="s">
        <v>43</v>
      </c>
      <c r="M14" s="2">
        <v>45721</v>
      </c>
      <c r="N14" t="s">
        <v>44</v>
      </c>
      <c r="O14">
        <v>900</v>
      </c>
      <c r="P14">
        <v>135000</v>
      </c>
    </row>
    <row r="15" spans="1:17" x14ac:dyDescent="0.3">
      <c r="A15" t="str">
        <v>Hot Sauce</v>
      </c>
      <c r="B15">
        <f t="shared" si="1"/>
        <v>90</v>
      </c>
      <c r="C15">
        <f>_xlfn.XLOOKUP(A15,Issuance!B:B,Issuance!D:D,0)</f>
        <v>25</v>
      </c>
      <c r="D15">
        <f t="shared" si="0"/>
        <v>65</v>
      </c>
      <c r="H15" t="s">
        <v>45</v>
      </c>
      <c r="I15" t="s">
        <v>46</v>
      </c>
      <c r="J15" t="s">
        <v>47</v>
      </c>
      <c r="K15">
        <v>120</v>
      </c>
      <c r="L15" t="s">
        <v>25</v>
      </c>
      <c r="M15" s="2">
        <v>45721</v>
      </c>
      <c r="N15" t="s">
        <v>48</v>
      </c>
      <c r="O15">
        <v>400</v>
      </c>
      <c r="P15">
        <v>48000</v>
      </c>
    </row>
    <row r="16" spans="1:17" x14ac:dyDescent="0.3">
      <c r="A16" t="str">
        <v>LPG Gas Cylinder</v>
      </c>
      <c r="B16">
        <f t="shared" si="1"/>
        <v>30</v>
      </c>
      <c r="C16">
        <f>_xlfn.XLOOKUP(A16,Issuance!B:B,Issuance!D:D,0)</f>
        <v>8</v>
      </c>
      <c r="D16">
        <f t="shared" si="0"/>
        <v>22</v>
      </c>
      <c r="H16" t="s">
        <v>49</v>
      </c>
      <c r="I16" t="s">
        <v>50</v>
      </c>
      <c r="J16" t="s">
        <v>51</v>
      </c>
      <c r="K16">
        <v>100</v>
      </c>
      <c r="L16" t="s">
        <v>52</v>
      </c>
      <c r="M16" s="2">
        <v>45722</v>
      </c>
      <c r="N16" t="s">
        <v>53</v>
      </c>
      <c r="O16">
        <v>4500</v>
      </c>
      <c r="P16">
        <v>450000</v>
      </c>
    </row>
    <row r="17" spans="1:16" x14ac:dyDescent="0.3">
      <c r="A17" s="3" t="s">
        <v>125</v>
      </c>
      <c r="B17" t="s">
        <v>123</v>
      </c>
      <c r="C17" t="s">
        <v>130</v>
      </c>
      <c r="H17" t="s">
        <v>54</v>
      </c>
      <c r="I17" t="s">
        <v>55</v>
      </c>
      <c r="J17" t="s">
        <v>56</v>
      </c>
      <c r="K17">
        <v>80</v>
      </c>
      <c r="L17" t="s">
        <v>25</v>
      </c>
      <c r="M17" s="2">
        <v>45722</v>
      </c>
      <c r="N17" t="s">
        <v>57</v>
      </c>
      <c r="O17">
        <v>2500</v>
      </c>
      <c r="P17">
        <v>200000</v>
      </c>
    </row>
    <row r="18" spans="1:16" x14ac:dyDescent="0.3">
      <c r="A18" s="4" t="s">
        <v>32</v>
      </c>
      <c r="B18">
        <v>300</v>
      </c>
      <c r="C18">
        <v>1800</v>
      </c>
      <c r="F18" s="3" t="s">
        <v>125</v>
      </c>
      <c r="G18" t="s">
        <v>130</v>
      </c>
      <c r="H18" t="s">
        <v>58</v>
      </c>
      <c r="I18" t="s">
        <v>59</v>
      </c>
      <c r="J18" t="s">
        <v>56</v>
      </c>
      <c r="K18">
        <v>60</v>
      </c>
      <c r="L18" t="s">
        <v>25</v>
      </c>
      <c r="M18" s="2">
        <v>45723</v>
      </c>
      <c r="N18" t="s">
        <v>57</v>
      </c>
      <c r="O18">
        <v>3000</v>
      </c>
      <c r="P18">
        <v>180000</v>
      </c>
    </row>
    <row r="19" spans="1:16" x14ac:dyDescent="0.3">
      <c r="A19" s="4" t="s">
        <v>34</v>
      </c>
      <c r="B19">
        <v>200</v>
      </c>
      <c r="C19">
        <v>1500</v>
      </c>
      <c r="F19" s="4" t="s">
        <v>53</v>
      </c>
      <c r="G19">
        <v>4500</v>
      </c>
      <c r="H19" t="s">
        <v>60</v>
      </c>
      <c r="I19" t="s">
        <v>61</v>
      </c>
      <c r="J19" t="s">
        <v>62</v>
      </c>
      <c r="K19">
        <v>90</v>
      </c>
      <c r="L19" t="s">
        <v>43</v>
      </c>
      <c r="M19" s="2">
        <v>45723</v>
      </c>
      <c r="N19" t="s">
        <v>63</v>
      </c>
      <c r="O19">
        <v>1200</v>
      </c>
      <c r="P19">
        <v>108000</v>
      </c>
    </row>
    <row r="20" spans="1:16" x14ac:dyDescent="0.3">
      <c r="A20" s="4" t="s">
        <v>46</v>
      </c>
      <c r="B20">
        <v>120</v>
      </c>
      <c r="C20">
        <v>400</v>
      </c>
      <c r="F20" s="4" t="s">
        <v>26</v>
      </c>
      <c r="G20">
        <v>3000</v>
      </c>
      <c r="H20" t="s">
        <v>64</v>
      </c>
      <c r="I20" t="s">
        <v>65</v>
      </c>
      <c r="J20" t="s">
        <v>66</v>
      </c>
      <c r="K20">
        <v>30</v>
      </c>
      <c r="L20" t="s">
        <v>67</v>
      </c>
      <c r="M20" s="2">
        <v>45724</v>
      </c>
      <c r="N20" t="s">
        <v>68</v>
      </c>
      <c r="O20">
        <v>8000</v>
      </c>
      <c r="P20">
        <v>240000</v>
      </c>
    </row>
    <row r="21" spans="1:16" x14ac:dyDescent="0.3">
      <c r="A21" s="4" t="s">
        <v>28</v>
      </c>
      <c r="B21">
        <v>400</v>
      </c>
      <c r="C21">
        <v>800</v>
      </c>
      <c r="F21" s="4" t="s">
        <v>68</v>
      </c>
      <c r="G21">
        <v>8000</v>
      </c>
    </row>
    <row r="22" spans="1:16" x14ac:dyDescent="0.3">
      <c r="A22" s="4" t="s">
        <v>41</v>
      </c>
      <c r="B22">
        <v>150</v>
      </c>
      <c r="C22">
        <v>900</v>
      </c>
      <c r="F22" s="4" t="s">
        <v>35</v>
      </c>
      <c r="G22">
        <v>1500</v>
      </c>
    </row>
    <row r="23" spans="1:16" x14ac:dyDescent="0.3">
      <c r="A23" s="4" t="s">
        <v>37</v>
      </c>
      <c r="B23">
        <v>200</v>
      </c>
      <c r="C23">
        <v>500</v>
      </c>
      <c r="F23" s="4" t="s">
        <v>57</v>
      </c>
      <c r="G23">
        <v>5500</v>
      </c>
    </row>
    <row r="24" spans="1:16" x14ac:dyDescent="0.3">
      <c r="A24" s="4" t="s">
        <v>16</v>
      </c>
      <c r="B24">
        <v>2000</v>
      </c>
      <c r="C24">
        <v>100</v>
      </c>
      <c r="F24" s="4" t="s">
        <v>126</v>
      </c>
      <c r="G24">
        <v>22500</v>
      </c>
    </row>
    <row r="25" spans="1:16" x14ac:dyDescent="0.3">
      <c r="A25" s="4" t="s">
        <v>11</v>
      </c>
      <c r="B25">
        <v>3000</v>
      </c>
      <c r="C25">
        <v>150</v>
      </c>
    </row>
    <row r="26" spans="1:16" x14ac:dyDescent="0.3">
      <c r="A26" s="4" t="s">
        <v>18</v>
      </c>
      <c r="B26">
        <v>500</v>
      </c>
      <c r="C26">
        <v>250</v>
      </c>
    </row>
    <row r="27" spans="1:16" x14ac:dyDescent="0.3">
      <c r="A27" s="4" t="s">
        <v>23</v>
      </c>
      <c r="B27">
        <v>500</v>
      </c>
      <c r="C27">
        <v>1200</v>
      </c>
    </row>
    <row r="28" spans="1:16" x14ac:dyDescent="0.3">
      <c r="A28" s="4" t="s">
        <v>126</v>
      </c>
      <c r="B28">
        <v>7370</v>
      </c>
      <c r="C28">
        <v>7600</v>
      </c>
    </row>
  </sheetData>
  <sortState xmlns:xlrd2="http://schemas.microsoft.com/office/spreadsheetml/2017/richdata2" ref="D2:D57">
    <sortCondition descending="1" ref="D1:D57"/>
  </sortState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EFD5-6673-47F0-BFF7-A2BCA5D57DB8}">
  <sheetPr codeName="Sheet3">
    <tabColor rgb="FF92D050"/>
  </sheetPr>
  <dimension ref="A1:M28"/>
  <sheetViews>
    <sheetView zoomScale="80" zoomScaleNormal="80" workbookViewId="0">
      <selection activeCell="B4" sqref="B4"/>
    </sheetView>
  </sheetViews>
  <sheetFormatPr defaultRowHeight="14.4" x14ac:dyDescent="0.3"/>
  <cols>
    <col min="1" max="1" width="20.44140625" bestFit="1" customWidth="1"/>
    <col min="2" max="2" width="16.5546875" bestFit="1" customWidth="1"/>
    <col min="3" max="4" width="16.6640625" bestFit="1" customWidth="1"/>
    <col min="5" max="5" width="6.44140625" customWidth="1"/>
    <col min="6" max="6" width="11.44140625" customWidth="1"/>
    <col min="7" max="7" width="15.88671875" bestFit="1" customWidth="1"/>
    <col min="8" max="8" width="10.77734375" customWidth="1"/>
    <col min="9" max="9" width="14.6640625" customWidth="1"/>
    <col min="10" max="10" width="7.77734375" customWidth="1"/>
    <col min="13" max="13" width="21.88671875" bestFit="1" customWidth="1"/>
    <col min="14" max="14" width="16.5546875" bestFit="1" customWidth="1"/>
  </cols>
  <sheetData>
    <row r="1" spans="1:13" x14ac:dyDescent="0.3">
      <c r="A1" t="s">
        <v>69</v>
      </c>
      <c r="B1" t="s">
        <v>1</v>
      </c>
      <c r="C1" t="s">
        <v>2</v>
      </c>
      <c r="D1" t="s">
        <v>70</v>
      </c>
      <c r="E1" t="s">
        <v>4</v>
      </c>
      <c r="F1" t="s">
        <v>71</v>
      </c>
      <c r="G1" t="s">
        <v>72</v>
      </c>
      <c r="H1" t="s">
        <v>73</v>
      </c>
      <c r="I1" t="s">
        <v>74</v>
      </c>
      <c r="J1" t="s">
        <v>9</v>
      </c>
      <c r="M1" t="s">
        <v>128</v>
      </c>
    </row>
    <row r="2" spans="1:13" x14ac:dyDescent="0.3">
      <c r="A2" t="s">
        <v>75</v>
      </c>
      <c r="B2" t="s">
        <v>11</v>
      </c>
      <c r="C2" t="s">
        <v>12</v>
      </c>
      <c r="D2">
        <v>800</v>
      </c>
      <c r="E2" t="s">
        <v>13</v>
      </c>
      <c r="F2" s="2">
        <v>45724</v>
      </c>
      <c r="G2" t="s">
        <v>76</v>
      </c>
      <c r="H2" t="s">
        <v>77</v>
      </c>
      <c r="I2" t="s">
        <v>78</v>
      </c>
      <c r="M2">
        <v>2133</v>
      </c>
    </row>
    <row r="3" spans="1:13" x14ac:dyDescent="0.3">
      <c r="A3" t="s">
        <v>79</v>
      </c>
      <c r="B3" t="s">
        <v>16</v>
      </c>
      <c r="C3" t="s">
        <v>12</v>
      </c>
      <c r="D3">
        <v>600</v>
      </c>
      <c r="E3" t="s">
        <v>13</v>
      </c>
      <c r="F3" s="2">
        <v>45719</v>
      </c>
      <c r="G3" t="s">
        <v>80</v>
      </c>
      <c r="H3" t="s">
        <v>81</v>
      </c>
      <c r="I3" t="s">
        <v>82</v>
      </c>
    </row>
    <row r="4" spans="1:13" x14ac:dyDescent="0.3">
      <c r="A4" t="s">
        <v>83</v>
      </c>
      <c r="B4" t="s">
        <v>23</v>
      </c>
      <c r="C4" t="s">
        <v>24</v>
      </c>
      <c r="D4">
        <v>120</v>
      </c>
      <c r="E4" t="s">
        <v>25</v>
      </c>
      <c r="F4" s="2">
        <v>45717</v>
      </c>
      <c r="G4" t="s">
        <v>84</v>
      </c>
      <c r="H4" t="s">
        <v>85</v>
      </c>
      <c r="I4" t="s">
        <v>86</v>
      </c>
    </row>
    <row r="5" spans="1:13" x14ac:dyDescent="0.3">
      <c r="A5" t="s">
        <v>87</v>
      </c>
      <c r="B5" t="s">
        <v>28</v>
      </c>
      <c r="C5" t="s">
        <v>29</v>
      </c>
      <c r="D5">
        <v>100</v>
      </c>
      <c r="E5" t="s">
        <v>25</v>
      </c>
      <c r="F5" s="2">
        <v>45719</v>
      </c>
      <c r="G5" t="s">
        <v>88</v>
      </c>
      <c r="H5" t="s">
        <v>77</v>
      </c>
      <c r="I5" t="s">
        <v>78</v>
      </c>
    </row>
    <row r="6" spans="1:13" x14ac:dyDescent="0.3">
      <c r="A6" t="s">
        <v>89</v>
      </c>
      <c r="B6" t="s">
        <v>34</v>
      </c>
      <c r="C6" t="s">
        <v>24</v>
      </c>
      <c r="D6">
        <v>80</v>
      </c>
      <c r="E6" t="s">
        <v>25</v>
      </c>
      <c r="F6" s="2">
        <v>45718</v>
      </c>
      <c r="G6" t="s">
        <v>84</v>
      </c>
      <c r="H6" t="s">
        <v>85</v>
      </c>
      <c r="I6" t="s">
        <v>86</v>
      </c>
    </row>
    <row r="7" spans="1:13" x14ac:dyDescent="0.3">
      <c r="A7" t="s">
        <v>90</v>
      </c>
      <c r="B7" t="s">
        <v>32</v>
      </c>
      <c r="C7" t="s">
        <v>24</v>
      </c>
      <c r="D7">
        <v>75</v>
      </c>
      <c r="E7" t="s">
        <v>25</v>
      </c>
      <c r="F7" s="2">
        <v>45723</v>
      </c>
      <c r="G7" t="s">
        <v>88</v>
      </c>
      <c r="H7" t="s">
        <v>77</v>
      </c>
      <c r="I7" t="s">
        <v>78</v>
      </c>
    </row>
    <row r="8" spans="1:13" x14ac:dyDescent="0.3">
      <c r="A8" t="s">
        <v>91</v>
      </c>
      <c r="B8" t="s">
        <v>41</v>
      </c>
      <c r="C8" t="s">
        <v>42</v>
      </c>
      <c r="D8">
        <v>40</v>
      </c>
      <c r="E8" t="s">
        <v>43</v>
      </c>
      <c r="F8" s="2">
        <v>45717</v>
      </c>
      <c r="G8" t="s">
        <v>92</v>
      </c>
      <c r="H8" t="s">
        <v>81</v>
      </c>
      <c r="I8" t="s">
        <v>82</v>
      </c>
    </row>
    <row r="9" spans="1:13" x14ac:dyDescent="0.3">
      <c r="A9" t="s">
        <v>93</v>
      </c>
      <c r="B9" t="s">
        <v>46</v>
      </c>
      <c r="C9" t="s">
        <v>47</v>
      </c>
      <c r="D9">
        <v>30</v>
      </c>
      <c r="E9" t="s">
        <v>25</v>
      </c>
      <c r="F9" s="2">
        <v>45721</v>
      </c>
      <c r="G9" t="s">
        <v>88</v>
      </c>
      <c r="H9" t="s">
        <v>77</v>
      </c>
      <c r="I9" t="s">
        <v>78</v>
      </c>
    </row>
    <row r="10" spans="1:13" x14ac:dyDescent="0.3">
      <c r="A10" t="s">
        <v>94</v>
      </c>
      <c r="B10" t="s">
        <v>61</v>
      </c>
      <c r="C10" t="s">
        <v>62</v>
      </c>
      <c r="D10">
        <v>25</v>
      </c>
      <c r="E10" t="s">
        <v>43</v>
      </c>
      <c r="F10" s="2">
        <v>45721</v>
      </c>
      <c r="G10" t="s">
        <v>92</v>
      </c>
      <c r="H10" t="s">
        <v>81</v>
      </c>
      <c r="I10" t="s">
        <v>82</v>
      </c>
    </row>
    <row r="11" spans="1:13" x14ac:dyDescent="0.3">
      <c r="A11" t="s">
        <v>95</v>
      </c>
      <c r="B11" t="s">
        <v>50</v>
      </c>
      <c r="C11" t="s">
        <v>51</v>
      </c>
      <c r="D11">
        <v>20</v>
      </c>
      <c r="E11" t="s">
        <v>52</v>
      </c>
      <c r="F11" s="2">
        <v>45720</v>
      </c>
      <c r="G11" t="s">
        <v>96</v>
      </c>
      <c r="H11" t="s">
        <v>85</v>
      </c>
      <c r="I11" t="s">
        <v>86</v>
      </c>
    </row>
    <row r="12" spans="1:13" x14ac:dyDescent="0.3">
      <c r="A12" t="s">
        <v>97</v>
      </c>
      <c r="B12" t="s">
        <v>18</v>
      </c>
      <c r="C12" t="s">
        <v>19</v>
      </c>
      <c r="D12">
        <v>150</v>
      </c>
      <c r="E12" t="s">
        <v>20</v>
      </c>
      <c r="F12" s="2">
        <v>45722</v>
      </c>
      <c r="G12" t="s">
        <v>98</v>
      </c>
      <c r="H12" t="s">
        <v>99</v>
      </c>
      <c r="I12" t="s">
        <v>86</v>
      </c>
    </row>
    <row r="13" spans="1:13" x14ac:dyDescent="0.3">
      <c r="A13" t="s">
        <v>100</v>
      </c>
      <c r="B13" t="s">
        <v>37</v>
      </c>
      <c r="C13" t="s">
        <v>19</v>
      </c>
      <c r="D13">
        <v>50</v>
      </c>
      <c r="E13" t="s">
        <v>38</v>
      </c>
      <c r="F13" s="2">
        <v>45723</v>
      </c>
      <c r="G13" t="s">
        <v>80</v>
      </c>
      <c r="H13" t="s">
        <v>81</v>
      </c>
      <c r="I13" t="s">
        <v>82</v>
      </c>
    </row>
    <row r="14" spans="1:13" x14ac:dyDescent="0.3">
      <c r="A14" t="s">
        <v>101</v>
      </c>
      <c r="B14" t="s">
        <v>55</v>
      </c>
      <c r="C14" t="s">
        <v>56</v>
      </c>
      <c r="D14">
        <v>20</v>
      </c>
      <c r="E14" t="s">
        <v>25</v>
      </c>
      <c r="F14" s="2">
        <v>45718</v>
      </c>
      <c r="G14" t="s">
        <v>102</v>
      </c>
      <c r="H14" t="s">
        <v>99</v>
      </c>
      <c r="I14" t="s">
        <v>86</v>
      </c>
    </row>
    <row r="15" spans="1:13" x14ac:dyDescent="0.3">
      <c r="A15" t="s">
        <v>103</v>
      </c>
      <c r="B15" t="s">
        <v>59</v>
      </c>
      <c r="C15" t="s">
        <v>56</v>
      </c>
      <c r="D15">
        <v>15</v>
      </c>
      <c r="E15" t="s">
        <v>25</v>
      </c>
      <c r="F15" s="2">
        <v>45720</v>
      </c>
      <c r="G15" t="s">
        <v>102</v>
      </c>
      <c r="H15" t="s">
        <v>99</v>
      </c>
      <c r="I15" t="s">
        <v>86</v>
      </c>
    </row>
    <row r="16" spans="1:13" x14ac:dyDescent="0.3">
      <c r="A16" t="s">
        <v>104</v>
      </c>
      <c r="B16" t="s">
        <v>65</v>
      </c>
      <c r="C16" t="s">
        <v>66</v>
      </c>
      <c r="D16">
        <v>8</v>
      </c>
      <c r="E16" t="s">
        <v>67</v>
      </c>
      <c r="F16" s="2">
        <v>45722</v>
      </c>
      <c r="G16" t="s">
        <v>84</v>
      </c>
      <c r="H16" t="s">
        <v>85</v>
      </c>
      <c r="I16" t="s">
        <v>86</v>
      </c>
    </row>
    <row r="17" spans="1:2" x14ac:dyDescent="0.3">
      <c r="A17" s="3" t="s">
        <v>125</v>
      </c>
      <c r="B17" t="s">
        <v>124</v>
      </c>
    </row>
    <row r="18" spans="1:2" x14ac:dyDescent="0.3">
      <c r="A18" s="4" t="s">
        <v>32</v>
      </c>
      <c r="B18">
        <v>75</v>
      </c>
    </row>
    <row r="19" spans="1:2" x14ac:dyDescent="0.3">
      <c r="A19" s="4" t="s">
        <v>34</v>
      </c>
      <c r="B19">
        <v>80</v>
      </c>
    </row>
    <row r="20" spans="1:2" x14ac:dyDescent="0.3">
      <c r="A20" s="4" t="s">
        <v>46</v>
      </c>
      <c r="B20">
        <v>30</v>
      </c>
    </row>
    <row r="21" spans="1:2" x14ac:dyDescent="0.3">
      <c r="A21" s="4" t="s">
        <v>28</v>
      </c>
      <c r="B21">
        <v>100</v>
      </c>
    </row>
    <row r="22" spans="1:2" x14ac:dyDescent="0.3">
      <c r="A22" s="4" t="s">
        <v>41</v>
      </c>
      <c r="B22">
        <v>40</v>
      </c>
    </row>
    <row r="23" spans="1:2" x14ac:dyDescent="0.3">
      <c r="A23" s="4" t="s">
        <v>37</v>
      </c>
      <c r="B23">
        <v>50</v>
      </c>
    </row>
    <row r="24" spans="1:2" x14ac:dyDescent="0.3">
      <c r="A24" s="4" t="s">
        <v>16</v>
      </c>
      <c r="B24">
        <v>600</v>
      </c>
    </row>
    <row r="25" spans="1:2" x14ac:dyDescent="0.3">
      <c r="A25" s="4" t="s">
        <v>11</v>
      </c>
      <c r="B25">
        <v>800</v>
      </c>
    </row>
    <row r="26" spans="1:2" x14ac:dyDescent="0.3">
      <c r="A26" s="4" t="s">
        <v>18</v>
      </c>
      <c r="B26">
        <v>150</v>
      </c>
    </row>
    <row r="27" spans="1:2" x14ac:dyDescent="0.3">
      <c r="A27" s="4" t="s">
        <v>23</v>
      </c>
      <c r="B27">
        <v>120</v>
      </c>
    </row>
    <row r="28" spans="1:2" x14ac:dyDescent="0.3">
      <c r="A28" s="4" t="s">
        <v>126</v>
      </c>
      <c r="B28">
        <v>2045</v>
      </c>
    </row>
  </sheetData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BDDE-7A3E-445A-87A6-6CF78214FFB7}">
  <sheetPr codeName="Sheet4">
    <tabColor rgb="FF00B0F0"/>
  </sheetPr>
  <dimension ref="A1:M23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6.33203125" bestFit="1" customWidth="1"/>
    <col min="3" max="3" width="10.44140625" customWidth="1"/>
    <col min="4" max="4" width="11.6640625" customWidth="1"/>
    <col min="5" max="5" width="6.44140625" customWidth="1"/>
    <col min="6" max="6" width="8.5546875" bestFit="1" customWidth="1"/>
    <col min="7" max="7" width="10.77734375" customWidth="1"/>
    <col min="8" max="8" width="7.77734375" customWidth="1"/>
    <col min="13" max="13" width="14.44140625" bestFit="1" customWidth="1"/>
  </cols>
  <sheetData>
    <row r="1" spans="1:13" x14ac:dyDescent="0.3">
      <c r="A1" t="s">
        <v>105</v>
      </c>
      <c r="B1" t="s">
        <v>1</v>
      </c>
      <c r="C1" t="s">
        <v>2</v>
      </c>
      <c r="D1" t="s">
        <v>70</v>
      </c>
      <c r="E1" t="s">
        <v>4</v>
      </c>
      <c r="F1" t="s">
        <v>106</v>
      </c>
      <c r="G1" t="s">
        <v>73</v>
      </c>
      <c r="H1" t="s">
        <v>9</v>
      </c>
      <c r="M1" t="s">
        <v>129</v>
      </c>
    </row>
    <row r="2" spans="1:13" x14ac:dyDescent="0.3">
      <c r="A2" t="s">
        <v>107</v>
      </c>
      <c r="B2" t="s">
        <v>23</v>
      </c>
      <c r="C2" t="s">
        <v>24</v>
      </c>
      <c r="D2">
        <v>320</v>
      </c>
      <c r="E2" t="s">
        <v>25</v>
      </c>
      <c r="F2" s="2">
        <v>45717</v>
      </c>
      <c r="G2" t="s">
        <v>85</v>
      </c>
      <c r="M2">
        <v>10</v>
      </c>
    </row>
    <row r="3" spans="1:13" x14ac:dyDescent="0.3">
      <c r="A3" t="s">
        <v>108</v>
      </c>
      <c r="B3" t="s">
        <v>16</v>
      </c>
      <c r="C3" t="s">
        <v>12</v>
      </c>
      <c r="D3">
        <v>280</v>
      </c>
      <c r="E3" t="s">
        <v>13</v>
      </c>
      <c r="F3" s="2">
        <v>45718</v>
      </c>
      <c r="G3" t="s">
        <v>77</v>
      </c>
    </row>
    <row r="4" spans="1:13" x14ac:dyDescent="0.3">
      <c r="A4" t="s">
        <v>109</v>
      </c>
      <c r="B4" t="s">
        <v>41</v>
      </c>
      <c r="C4" t="s">
        <v>42</v>
      </c>
      <c r="D4">
        <v>210</v>
      </c>
      <c r="E4" t="s">
        <v>43</v>
      </c>
      <c r="F4" s="2">
        <v>45717</v>
      </c>
      <c r="G4" t="s">
        <v>81</v>
      </c>
    </row>
    <row r="5" spans="1:13" x14ac:dyDescent="0.3">
      <c r="A5" t="s">
        <v>110</v>
      </c>
      <c r="B5" t="s">
        <v>28</v>
      </c>
      <c r="C5" t="s">
        <v>29</v>
      </c>
      <c r="D5">
        <v>190</v>
      </c>
      <c r="E5" t="s">
        <v>25</v>
      </c>
      <c r="F5" s="2">
        <v>45718</v>
      </c>
      <c r="G5" t="s">
        <v>99</v>
      </c>
    </row>
    <row r="6" spans="1:13" x14ac:dyDescent="0.3">
      <c r="A6" t="s">
        <v>111</v>
      </c>
      <c r="B6" t="s">
        <v>34</v>
      </c>
      <c r="C6" t="s">
        <v>24</v>
      </c>
      <c r="D6">
        <v>170</v>
      </c>
      <c r="E6" t="s">
        <v>25</v>
      </c>
      <c r="F6" s="2">
        <v>45719</v>
      </c>
      <c r="G6" t="s">
        <v>112</v>
      </c>
    </row>
    <row r="7" spans="1:13" x14ac:dyDescent="0.3">
      <c r="A7" t="s">
        <v>113</v>
      </c>
      <c r="B7" t="s">
        <v>55</v>
      </c>
      <c r="C7" t="s">
        <v>56</v>
      </c>
      <c r="D7">
        <v>145</v>
      </c>
      <c r="E7" t="s">
        <v>25</v>
      </c>
      <c r="F7" s="2">
        <v>45719</v>
      </c>
      <c r="G7" t="s">
        <v>114</v>
      </c>
    </row>
    <row r="8" spans="1:13" x14ac:dyDescent="0.3">
      <c r="A8" t="s">
        <v>115</v>
      </c>
      <c r="B8" t="s">
        <v>59</v>
      </c>
      <c r="C8" t="s">
        <v>56</v>
      </c>
      <c r="D8">
        <v>130</v>
      </c>
      <c r="E8" t="s">
        <v>25</v>
      </c>
      <c r="F8" s="2">
        <v>45720</v>
      </c>
      <c r="G8" t="s">
        <v>116</v>
      </c>
    </row>
    <row r="9" spans="1:13" x14ac:dyDescent="0.3">
      <c r="A9" t="s">
        <v>117</v>
      </c>
      <c r="B9" t="s">
        <v>61</v>
      </c>
      <c r="C9" t="s">
        <v>62</v>
      </c>
      <c r="D9">
        <v>115</v>
      </c>
      <c r="E9" t="s">
        <v>43</v>
      </c>
      <c r="F9" s="2">
        <v>45720</v>
      </c>
      <c r="G9" t="s">
        <v>118</v>
      </c>
      <c r="K9" t="s">
        <v>108</v>
      </c>
    </row>
    <row r="10" spans="1:13" x14ac:dyDescent="0.3">
      <c r="A10" t="s">
        <v>119</v>
      </c>
      <c r="B10" t="s">
        <v>50</v>
      </c>
      <c r="C10" t="s">
        <v>51</v>
      </c>
      <c r="D10">
        <v>98</v>
      </c>
      <c r="E10" t="s">
        <v>52</v>
      </c>
      <c r="F10" s="2">
        <v>45721</v>
      </c>
      <c r="G10" t="s">
        <v>120</v>
      </c>
    </row>
    <row r="11" spans="1:13" x14ac:dyDescent="0.3">
      <c r="A11" t="s">
        <v>121</v>
      </c>
      <c r="B11" t="s">
        <v>18</v>
      </c>
      <c r="C11" t="s">
        <v>19</v>
      </c>
      <c r="D11">
        <v>90</v>
      </c>
      <c r="E11" t="s">
        <v>20</v>
      </c>
      <c r="F11" s="2">
        <v>45721</v>
      </c>
      <c r="G11" t="s">
        <v>122</v>
      </c>
    </row>
    <row r="12" spans="1:13" x14ac:dyDescent="0.3">
      <c r="A12" s="3" t="s">
        <v>125</v>
      </c>
      <c r="B12" t="s">
        <v>124</v>
      </c>
    </row>
    <row r="13" spans="1:13" x14ac:dyDescent="0.3">
      <c r="A13" s="4" t="s">
        <v>111</v>
      </c>
      <c r="B13">
        <v>170</v>
      </c>
    </row>
    <row r="14" spans="1:13" x14ac:dyDescent="0.3">
      <c r="A14" s="4" t="s">
        <v>119</v>
      </c>
      <c r="B14">
        <v>98</v>
      </c>
    </row>
    <row r="15" spans="1:13" x14ac:dyDescent="0.3">
      <c r="A15" s="4" t="s">
        <v>121</v>
      </c>
      <c r="B15">
        <v>90</v>
      </c>
    </row>
    <row r="16" spans="1:13" x14ac:dyDescent="0.3">
      <c r="A16" s="4" t="s">
        <v>108</v>
      </c>
      <c r="B16">
        <v>280</v>
      </c>
    </row>
    <row r="17" spans="1:2" x14ac:dyDescent="0.3">
      <c r="A17" s="4" t="s">
        <v>117</v>
      </c>
      <c r="B17">
        <v>115</v>
      </c>
    </row>
    <row r="18" spans="1:2" x14ac:dyDescent="0.3">
      <c r="A18" s="4" t="s">
        <v>107</v>
      </c>
      <c r="B18">
        <v>320</v>
      </c>
    </row>
    <row r="19" spans="1:2" x14ac:dyDescent="0.3">
      <c r="A19" s="4" t="s">
        <v>115</v>
      </c>
      <c r="B19">
        <v>130</v>
      </c>
    </row>
    <row r="20" spans="1:2" x14ac:dyDescent="0.3">
      <c r="A20" s="4" t="s">
        <v>110</v>
      </c>
      <c r="B20">
        <v>190</v>
      </c>
    </row>
    <row r="21" spans="1:2" x14ac:dyDescent="0.3">
      <c r="A21" s="4" t="s">
        <v>109</v>
      </c>
      <c r="B21">
        <v>210</v>
      </c>
    </row>
    <row r="22" spans="1:2" x14ac:dyDescent="0.3">
      <c r="A22" s="4" t="s">
        <v>113</v>
      </c>
      <c r="B22">
        <v>145</v>
      </c>
    </row>
    <row r="23" spans="1:2" x14ac:dyDescent="0.3">
      <c r="A23" s="4" t="s">
        <v>126</v>
      </c>
      <c r="B23">
        <v>1748</v>
      </c>
    </row>
  </sheetData>
  <dataValidations count="1">
    <dataValidation type="list" allowBlank="1" showInputMessage="1" showErrorMessage="1" sqref="K9" xr:uid="{061D8487-75C7-4B09-9FC0-E8D24967A616}">
      <formula1>$A$13:$A$22</formula1>
    </dataValidation>
  </dataValidation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DashBoard</vt:lpstr>
      <vt:lpstr>Receipts_Data</vt:lpstr>
      <vt:lpstr>Issuance</vt:lpstr>
      <vt:lpstr>Branch</vt:lpstr>
      <vt:lpstr>_Active_Branches</vt:lpstr>
      <vt:lpstr>Total_Items_Issued</vt:lpstr>
      <vt:lpstr>Total_Items_Received</vt:lpstr>
      <vt:lpstr>Total_Units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Geordie Cipher</dc:creator>
  <cp:lastModifiedBy>Geordie Cipher</cp:lastModifiedBy>
  <dcterms:created xsi:type="dcterms:W3CDTF">2026-03-28T13:30:46Z</dcterms:created>
  <dcterms:modified xsi:type="dcterms:W3CDTF">2026-05-23T19:58:05Z</dcterms:modified>
</cp:coreProperties>
</file>
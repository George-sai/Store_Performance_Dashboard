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1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wnloads\Store_Performance_Dashboard\"/>
    </mc:Choice>
  </mc:AlternateContent>
  <xr:revisionPtr revIDLastSave="0" documentId="8_{49A6F0E4-EA66-4FAF-91AB-6519D02428FD}" xr6:coauthVersionLast="47" xr6:coauthVersionMax="47" xr10:uidLastSave="{00000000-0000-0000-0000-000000000000}"/>
  <bookViews>
    <workbookView xWindow="-108" yWindow="-108" windowWidth="23256" windowHeight="13176" xr2:uid="{01BE9DD8-538C-4DEB-8231-3B702BA256F1}"/>
  </bookViews>
  <sheets>
    <sheet name="Sheet1" sheetId="1" r:id="rId1"/>
  </sheets>
  <externalReferences>
    <externalReference r:id="rId2"/>
  </externalReferences>
  <calcPr calcId="19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1" l="1" a="1"/>
  <c r="B16" i="1" s="1"/>
  <c r="B4" i="1" l="1"/>
  <c r="D4" i="1" s="1"/>
  <c r="C9" i="1"/>
  <c r="B12" i="1"/>
  <c r="D12" i="1" s="1"/>
  <c r="C14" i="1"/>
  <c r="B3" i="1"/>
  <c r="C8" i="1"/>
  <c r="B11" i="1"/>
  <c r="C16" i="1"/>
  <c r="D16" i="1" s="1"/>
  <c r="C3" i="1"/>
  <c r="B6" i="1"/>
  <c r="C11" i="1"/>
  <c r="B14" i="1"/>
  <c r="D14" i="1" s="1"/>
  <c r="C6" i="1"/>
  <c r="B9" i="1"/>
  <c r="D9" i="1" s="1"/>
  <c r="A1" i="1"/>
  <c r="C4" i="1"/>
  <c r="B7" i="1"/>
  <c r="D7" i="1" s="1"/>
  <c r="C12" i="1"/>
  <c r="B15" i="1"/>
  <c r="B2" i="1"/>
  <c r="C7" i="1"/>
  <c r="B10" i="1"/>
  <c r="D10" i="1" s="1"/>
  <c r="C15" i="1"/>
  <c r="C2" i="1"/>
  <c r="B5" i="1"/>
  <c r="D5" i="1" s="1"/>
  <c r="C10" i="1"/>
  <c r="B13" i="1"/>
  <c r="C5" i="1"/>
  <c r="B8" i="1"/>
  <c r="C13" i="1"/>
  <c r="D11" i="1" l="1"/>
  <c r="D8" i="1"/>
  <c r="D3" i="1"/>
  <c r="D2" i="1"/>
  <c r="D13" i="1"/>
  <c r="D15" i="1"/>
  <c r="D6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<sst xmlns="http://schemas.openxmlformats.org/spreadsheetml/2006/main" count="111" uniqueCount="77">
  <si>
    <t>Received</t>
  </si>
  <si>
    <t>Issued</t>
  </si>
  <si>
    <t>Balance</t>
  </si>
  <si>
    <t>Total Items Received</t>
  </si>
  <si>
    <t>Receipt ID</t>
  </si>
  <si>
    <t>Item Name</t>
  </si>
  <si>
    <t>Category</t>
  </si>
  <si>
    <t>Qty Received</t>
  </si>
  <si>
    <t>Unit</t>
  </si>
  <si>
    <t>Receipt Date</t>
  </si>
  <si>
    <t>Supplier</t>
  </si>
  <si>
    <t>Unit Cost (NGN)</t>
  </si>
  <si>
    <t>Total Cost (NGN)</t>
  </si>
  <si>
    <t>Notes</t>
  </si>
  <si>
    <t>PACK-002</t>
  </si>
  <si>
    <t>Meal Boxes (Small)</t>
  </si>
  <si>
    <t>Packaging</t>
  </si>
  <si>
    <t>Pcs</t>
  </si>
  <si>
    <t>PackPro</t>
  </si>
  <si>
    <t>PACK-001</t>
  </si>
  <si>
    <t>Meal Boxes (Large)</t>
  </si>
  <si>
    <t>NAPK-001</t>
  </si>
  <si>
    <t>Napkins (Pack)</t>
  </si>
  <si>
    <t>Misc</t>
  </si>
  <si>
    <t>Packs</t>
  </si>
  <si>
    <t>CleanSupply</t>
  </si>
  <si>
    <t>CHKN-001</t>
  </si>
  <si>
    <t>Whole Chicken (Frozen)</t>
  </si>
  <si>
    <t>Protein</t>
  </si>
  <si>
    <t>KG</t>
  </si>
  <si>
    <t>FarmFresh Ltd</t>
  </si>
  <si>
    <t>FLOUR-001</t>
  </si>
  <si>
    <t>Frying Flour</t>
  </si>
  <si>
    <t>Dry Goods</t>
  </si>
  <si>
    <t>MillersBest</t>
  </si>
  <si>
    <t>CHKN-002</t>
  </si>
  <si>
    <t>Chicken Breast</t>
  </si>
  <si>
    <t>CHKN-003</t>
  </si>
  <si>
    <t>Chicken Wings</t>
  </si>
  <si>
    <t>PoultryKing</t>
  </si>
  <si>
    <t>ICE-001</t>
  </si>
  <si>
    <t>Ice Blocks</t>
  </si>
  <si>
    <t>Bags</t>
  </si>
  <si>
    <t>IcePlant</t>
  </si>
  <si>
    <t>OIL-001</t>
  </si>
  <si>
    <t>Frying Oil (Palm)</t>
  </si>
  <si>
    <t>Cooking</t>
  </si>
  <si>
    <t>Litres</t>
  </si>
  <si>
    <t>OilMart</t>
  </si>
  <si>
    <t>VEG-001</t>
  </si>
  <si>
    <t>Coleslaw Cabbage</t>
  </si>
  <si>
    <t>Vegetable</t>
  </si>
  <si>
    <t>FreshFarm</t>
  </si>
  <si>
    <t>DRINK-001</t>
  </si>
  <si>
    <t>Soft Drinks (Crate)</t>
  </si>
  <si>
    <t>Beverage</t>
  </si>
  <si>
    <t>Crates</t>
  </si>
  <si>
    <t>BevCo</t>
  </si>
  <si>
    <t>Row Labels</t>
  </si>
  <si>
    <t>Sum of Qty Received</t>
  </si>
  <si>
    <t>Sum of Unit Cost (NGN)</t>
  </si>
  <si>
    <t>SPCE-001</t>
  </si>
  <si>
    <t>Seasoning Mix A</t>
  </si>
  <si>
    <t>Seasoning</t>
  </si>
  <si>
    <t>SpiceWorld</t>
  </si>
  <si>
    <t>SPCE-002</t>
  </si>
  <si>
    <t>Pepper (Ground)</t>
  </si>
  <si>
    <t>SAUCE-001</t>
  </si>
  <si>
    <t>Hot Sauce</t>
  </si>
  <si>
    <t>Condiment</t>
  </si>
  <si>
    <t>SauceHouse</t>
  </si>
  <si>
    <t>GAS-001</t>
  </si>
  <si>
    <t>LPG Gas Cylinder</t>
  </si>
  <si>
    <t>Utilities</t>
  </si>
  <si>
    <t>Units</t>
  </si>
  <si>
    <t>GasPlus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</si>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</sst>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0" fillId="0" borderId="0" xfId="0" applyAlignment="1">
      <alignment horizontal="left"/>
    </xf>
    <xf numFmtId="0" fontId="0" fillId="0" borderId="0" xfId="0" pivotButton="1"/>
  </cellXfs>
  <cellStyles count="1">
    <cellStyle name="Normal" xfId="0" builtinId="0"/>
  </cellStyles>
  <dxfs count="1"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openxmlformats.org/officeDocument/2006/relationships/sheetMetadata" Target="metadata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hp\Downloads\Store_Performance_Dashboard\dashboard\Store%20Dashboard.xlsx" TargetMode="External"/><Relationship Id="rId1" Type="http://schemas.openxmlformats.org/officeDocument/2006/relationships/externalLinkPath" Target="dashboard/Store%20Dashboar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shBoard"/>
      <sheetName val="Receipts_Data"/>
      <sheetName val="Issuance"/>
      <sheetName val="Branch"/>
    </sheetNames>
    <sheetDataSet>
      <sheetData sheetId="0"/>
      <sheetData sheetId="1"/>
      <sheetData sheetId="2">
        <row r="1">
          <cell r="B1" t="str">
            <v>Item Name</v>
          </cell>
          <cell r="D1" t="str">
            <v>Qty Issued</v>
          </cell>
        </row>
        <row r="2">
          <cell r="B2" t="str">
            <v>Meal Boxes (Small)</v>
          </cell>
          <cell r="D2">
            <v>800</v>
          </cell>
        </row>
        <row r="3">
          <cell r="B3" t="str">
            <v>Meal Boxes (Large)</v>
          </cell>
          <cell r="D3">
            <v>600</v>
          </cell>
        </row>
        <row r="4">
          <cell r="B4" t="str">
            <v>Whole Chicken (Frozen)</v>
          </cell>
          <cell r="D4">
            <v>120</v>
          </cell>
        </row>
        <row r="5">
          <cell r="B5" t="str">
            <v>Frying Flour</v>
          </cell>
          <cell r="D5">
            <v>100</v>
          </cell>
        </row>
        <row r="6">
          <cell r="B6" t="str">
            <v>Chicken Wings</v>
          </cell>
          <cell r="D6">
            <v>80</v>
          </cell>
        </row>
        <row r="7">
          <cell r="B7" t="str">
            <v>Chicken Breast</v>
          </cell>
          <cell r="D7">
            <v>75</v>
          </cell>
        </row>
        <row r="8">
          <cell r="B8" t="str">
            <v>Frying Oil (Palm)</v>
          </cell>
          <cell r="D8">
            <v>40</v>
          </cell>
        </row>
        <row r="9">
          <cell r="B9" t="str">
            <v>Coleslaw Cabbage</v>
          </cell>
          <cell r="D9">
            <v>30</v>
          </cell>
        </row>
        <row r="10">
          <cell r="B10" t="str">
            <v>Hot Sauce</v>
          </cell>
          <cell r="D10">
            <v>25</v>
          </cell>
        </row>
        <row r="11">
          <cell r="B11" t="str">
            <v>Soft Drinks (Crate)</v>
          </cell>
          <cell r="D11">
            <v>20</v>
          </cell>
        </row>
        <row r="12">
          <cell r="B12" t="str">
            <v>Napkins (Pack)</v>
          </cell>
          <cell r="D12">
            <v>150</v>
          </cell>
        </row>
        <row r="13">
          <cell r="B13" t="str">
            <v>Ice Blocks</v>
          </cell>
          <cell r="D13">
            <v>50</v>
          </cell>
        </row>
        <row r="14">
          <cell r="B14" t="str">
            <v>Seasoning Mix A</v>
          </cell>
          <cell r="D14">
            <v>20</v>
          </cell>
        </row>
        <row r="15">
          <cell r="B15" t="str">
            <v>Pepper (Ground)</v>
          </cell>
          <cell r="D15">
            <v>15</v>
          </cell>
        </row>
        <row r="16">
          <cell r="B16" t="str">
            <v>LPG Gas Cylinder</v>
          </cell>
          <cell r="D16">
            <v>8</v>
          </cell>
        </row>
        <row r="17">
          <cell r="B17" t="str">
            <v>Sum of Qty Issued</v>
          </cell>
        </row>
        <row r="18">
          <cell r="B18">
            <v>75</v>
          </cell>
        </row>
        <row r="19">
          <cell r="B19">
            <v>80</v>
          </cell>
        </row>
        <row r="20">
          <cell r="B20">
            <v>30</v>
          </cell>
        </row>
        <row r="21">
          <cell r="B21">
            <v>100</v>
          </cell>
        </row>
        <row r="22">
          <cell r="B22">
            <v>40</v>
          </cell>
        </row>
        <row r="23">
          <cell r="B23">
            <v>50</v>
          </cell>
        </row>
        <row r="24">
          <cell r="B24">
            <v>600</v>
          </cell>
        </row>
        <row r="25">
          <cell r="B25">
            <v>800</v>
          </cell>
        </row>
        <row r="26">
          <cell r="B26">
            <v>150</v>
          </cell>
        </row>
        <row r="27">
          <cell r="B27">
            <v>120</v>
          </cell>
        </row>
        <row r="28">
          <cell r="B28">
            <v>2045</v>
          </cell>
        </row>
      </sheetData>
      <sheetData sheetId="3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dashboard/Store%20Dashboard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109.808879861113" createdVersion="8" refreshedVersion="8" minRefreshableVersion="3" recordCount="15" xr:uid="{734C540F-CCD0-416C-AFD3-E2588F08AD1D}">
  <cacheSource type="worksheet">
    <worksheetSource name="Receipt_Data" r:id="rId2"/>
  </cacheSource>
  <cacheFields count="10">
    <cacheField name="Receipt ID" numFmtId="0">
      <sharedItems/>
    </cacheField>
    <cacheField name="Item Name" numFmtId="0">
      <sharedItems count="15">
        <s v="Meal Boxes (Small)"/>
        <s v="Meal Boxes (Large)"/>
        <s v="Napkins (Pack)"/>
        <s v="Whole Chicken (Frozen)"/>
        <s v="Frying Flour"/>
        <s v="Chicken Breast"/>
        <s v="Chicken Wings"/>
        <s v="Ice Blocks"/>
        <s v="Frying Oil (Palm)"/>
        <s v="Coleslaw Cabbage"/>
        <s v="Soft Drinks (Crate)"/>
        <s v="Seasoning Mix A"/>
        <s v="Pepper (Ground)"/>
        <s v="Hot Sauce"/>
        <s v="LPG Gas Cylinder"/>
      </sharedItems>
    </cacheField>
    <cacheField name="Category" numFmtId="0">
      <sharedItems count="10">
        <s v="Packaging"/>
        <s v="Misc"/>
        <s v="Protein"/>
        <s v="Dry Goods"/>
        <s v="Cooking"/>
        <s v="Vegetable"/>
        <s v="Beverage"/>
        <s v="Seasoning"/>
        <s v="Condiment"/>
        <s v="Utilities"/>
      </sharedItems>
    </cacheField>
    <cacheField name="Qty Received" numFmtId="0">
      <sharedItems containsSemiMixedTypes="0" containsString="0" containsNumber="1" containsInteger="1" minValue="30" maxValue="3000" count="13">
        <n v="3000"/>
        <n v="2000"/>
        <n v="500"/>
        <n v="400"/>
        <n v="300"/>
        <n v="200"/>
        <n v="150"/>
        <n v="120"/>
        <n v="100"/>
        <n v="80"/>
        <n v="60"/>
        <n v="90"/>
        <n v="30"/>
      </sharedItems>
    </cacheField>
    <cacheField name="Unit" numFmtId="0">
      <sharedItems count="7">
        <s v="Pcs"/>
        <s v="Packs"/>
        <s v="KG"/>
        <s v="Bags"/>
        <s v="Litres"/>
        <s v="Crates"/>
        <s v="Units"/>
      </sharedItems>
    </cacheField>
    <cacheField name="Receipt Date" numFmtId="14">
      <sharedItems containsSemiMixedTypes="0" containsNonDate="0" containsDate="1" containsString="0" minDate="2025-03-01T00:00:00" maxDate="2025-03-09T00:00:00"/>
    </cacheField>
    <cacheField name="Supplier" numFmtId="0">
      <sharedItems count="12">
        <s v="PackPro"/>
        <s v="CleanSupply"/>
        <s v="FarmFresh Ltd"/>
        <s v="MillersBest"/>
        <s v="PoultryKing"/>
        <s v="IcePlant"/>
        <s v="OilMart"/>
        <s v="FreshFarm"/>
        <s v="BevCo"/>
        <s v="SpiceWorld"/>
        <s v="SauceHouse"/>
        <s v="GasPlus"/>
      </sharedItems>
    </cacheField>
    <cacheField name="Unit Cost (NGN)" numFmtId="0">
      <sharedItems containsSemiMixedTypes="0" containsString="0" containsNumber="1" containsInteger="1" minValue="100" maxValue="8000"/>
    </cacheField>
    <cacheField name="Total Cost (NGN)" numFmtId="0">
      <sharedItems containsSemiMixedTypes="0" containsString="0" containsNumber="1" containsInteger="1" minValue="48000" maxValue="600000"/>
    </cacheField>
    <cacheField name="Notes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">
  <r>
    <s v="PACK-002"/>
    <x v="0"/>
    <x v="0"/>
    <x v="0"/>
    <x v="0"/>
    <d v="2025-03-01T00:00:00"/>
    <x v="0"/>
    <n v="150"/>
    <n v="450000"/>
    <m/>
  </r>
  <r>
    <s v="PACK-001"/>
    <x v="1"/>
    <x v="0"/>
    <x v="1"/>
    <x v="0"/>
    <d v="2025-03-01T00:00:00"/>
    <x v="0"/>
    <n v="100"/>
    <n v="200000"/>
    <m/>
  </r>
  <r>
    <s v="NAPK-001"/>
    <x v="2"/>
    <x v="1"/>
    <x v="2"/>
    <x v="1"/>
    <d v="2025-03-02T00:00:00"/>
    <x v="1"/>
    <n v="250"/>
    <n v="125000"/>
    <m/>
  </r>
  <r>
    <s v="CHKN-001"/>
    <x v="3"/>
    <x v="2"/>
    <x v="2"/>
    <x v="2"/>
    <d v="2025-03-02T00:00:00"/>
    <x v="2"/>
    <n v="1200"/>
    <n v="600000"/>
    <m/>
  </r>
  <r>
    <s v="FLOUR-001"/>
    <x v="4"/>
    <x v="3"/>
    <x v="3"/>
    <x v="2"/>
    <d v="2025-03-03T00:00:00"/>
    <x v="3"/>
    <n v="800"/>
    <n v="320000"/>
    <m/>
  </r>
  <r>
    <s v="CHKN-002"/>
    <x v="5"/>
    <x v="2"/>
    <x v="4"/>
    <x v="2"/>
    <d v="2025-03-03T00:00:00"/>
    <x v="2"/>
    <n v="1800"/>
    <n v="540000"/>
    <m/>
  </r>
  <r>
    <s v="CHKN-003"/>
    <x v="6"/>
    <x v="2"/>
    <x v="5"/>
    <x v="2"/>
    <d v="2025-03-04T00:00:00"/>
    <x v="4"/>
    <n v="1500"/>
    <n v="300000"/>
    <m/>
  </r>
  <r>
    <s v="ICE-001"/>
    <x v="7"/>
    <x v="1"/>
    <x v="5"/>
    <x v="3"/>
    <d v="2025-03-04T00:00:00"/>
    <x v="5"/>
    <n v="500"/>
    <n v="100000"/>
    <m/>
  </r>
  <r>
    <s v="OIL-001"/>
    <x v="8"/>
    <x v="4"/>
    <x v="6"/>
    <x v="4"/>
    <d v="2025-03-05T00:00:00"/>
    <x v="6"/>
    <n v="900"/>
    <n v="135000"/>
    <m/>
  </r>
  <r>
    <s v="VEG-001"/>
    <x v="9"/>
    <x v="5"/>
    <x v="7"/>
    <x v="2"/>
    <d v="2025-03-05T00:00:00"/>
    <x v="7"/>
    <n v="400"/>
    <n v="48000"/>
    <m/>
  </r>
  <r>
    <s v="DRINK-001"/>
    <x v="10"/>
    <x v="6"/>
    <x v="8"/>
    <x v="5"/>
    <d v="2025-03-06T00:00:00"/>
    <x v="8"/>
    <n v="4500"/>
    <n v="450000"/>
    <m/>
  </r>
  <r>
    <s v="SPCE-001"/>
    <x v="11"/>
    <x v="7"/>
    <x v="9"/>
    <x v="2"/>
    <d v="2025-03-06T00:00:00"/>
    <x v="9"/>
    <n v="2500"/>
    <n v="200000"/>
    <m/>
  </r>
  <r>
    <s v="SPCE-002"/>
    <x v="12"/>
    <x v="7"/>
    <x v="10"/>
    <x v="2"/>
    <d v="2025-03-07T00:00:00"/>
    <x v="9"/>
    <n v="3000"/>
    <n v="180000"/>
    <m/>
  </r>
  <r>
    <s v="SAUCE-001"/>
    <x v="13"/>
    <x v="8"/>
    <x v="11"/>
    <x v="4"/>
    <d v="2025-03-07T00:00:00"/>
    <x v="10"/>
    <n v="1200"/>
    <n v="108000"/>
    <m/>
  </r>
  <r>
    <s v="GAS-001"/>
    <x v="14"/>
    <x v="9"/>
    <x v="12"/>
    <x v="6"/>
    <d v="2025-03-08T00:00:00"/>
    <x v="11"/>
    <n v="8000"/>
    <n v="24000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2DAB1D-0000-4FD3-B90D-C34E3183D877}" name="PivotTable3" cacheId="0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chartFormat="20">
  <location ref="A17:C28" firstHeaderRow="0" firstDataRow="1" firstDataCol="1"/>
  <pivotFields count="10">
    <pivotField showAll="0"/>
    <pivotField axis="axisRow" showAll="0" measureFilter="1">
      <items count="16">
        <item x="5"/>
        <item x="6"/>
        <item x="9"/>
        <item x="4"/>
        <item x="8"/>
        <item x="13"/>
        <item x="7"/>
        <item x="14"/>
        <item x="1"/>
        <item x="0"/>
        <item x="2"/>
        <item x="12"/>
        <item x="11"/>
        <item x="10"/>
        <item x="3"/>
        <item t="default"/>
      </items>
    </pivotField>
    <pivotField showAll="0"/>
    <pivotField dataField="1" showAll="0">
      <items count="14">
        <item x="12"/>
        <item x="10"/>
        <item x="9"/>
        <item x="11"/>
        <item x="8"/>
        <item x="7"/>
        <item x="6"/>
        <item x="5"/>
        <item x="4"/>
        <item x="3"/>
        <item x="2"/>
        <item x="1"/>
        <item x="0"/>
        <item t="default"/>
      </items>
    </pivotField>
    <pivotField showAll="0"/>
    <pivotField numFmtId="14" showAll="0"/>
    <pivotField showAll="0"/>
    <pivotField dataField="1" showAll="0"/>
    <pivotField showAll="0"/>
    <pivotField showAll="0"/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6"/>
    </i>
    <i>
      <x v="8"/>
    </i>
    <i>
      <x v="9"/>
    </i>
    <i>
      <x v="10"/>
    </i>
    <i>
      <x v="1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Qty Received" fld="3" baseField="0" baseItem="0"/>
    <dataField name="Sum of Unit Cost (NGN)" fld="7" baseField="0" baseItem="0"/>
  </dataFields>
  <chartFormats count="12">
    <chartFormat chart="5" format="1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1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  <chartFormat chart="5" format="22">
      <pivotArea type="data" outline="0" fieldPosition="0">
        <references count="2">
          <reference field="4294967294" count="1" selected="0">
            <x v="0"/>
          </reference>
          <reference field="1" count="1" selected="0">
            <x v="10"/>
          </reference>
        </references>
      </pivotArea>
    </chartFormat>
    <chartFormat chart="5" format="23">
      <pivotArea type="data" outline="0" fieldPosition="0">
        <references count="2">
          <reference field="4294967294" count="1" selected="0">
            <x v="0"/>
          </reference>
          <reference field="1" count="1" selected="0">
            <x v="14"/>
          </reference>
        </references>
      </pivotArea>
    </chartFormat>
    <chartFormat chart="5" format="24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5" format="25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5" format="26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5" format="27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5" format="28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5" format="29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5" format="30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E765BA1-3168-4C13-A01D-B0E33CAE6E9C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F18:G24" firstHeaderRow="1" firstDataRow="1" firstDataCol="1"/>
  <pivotFields count="10">
    <pivotField showAll="0"/>
    <pivotField showAll="0"/>
    <pivotField showAll="0"/>
    <pivotField showAll="0"/>
    <pivotField showAll="0">
      <items count="8">
        <item x="3"/>
        <item x="5"/>
        <item x="2"/>
        <item x="4"/>
        <item x="1"/>
        <item x="0"/>
        <item x="6"/>
        <item t="default"/>
      </items>
    </pivotField>
    <pivotField numFmtId="14" showAll="0"/>
    <pivotField axis="axisRow" showAll="0" measureFilter="1">
      <items count="13">
        <item x="8"/>
        <item x="1"/>
        <item x="2"/>
        <item x="7"/>
        <item x="11"/>
        <item x="5"/>
        <item x="3"/>
        <item x="6"/>
        <item x="0"/>
        <item x="4"/>
        <item x="10"/>
        <item x="9"/>
        <item t="default"/>
      </items>
    </pivotField>
    <pivotField dataField="1" showAll="0"/>
    <pivotField showAll="0"/>
    <pivotField showAll="0"/>
  </pivotFields>
  <rowFields count="1">
    <field x="6"/>
  </rowFields>
  <rowItems count="6">
    <i>
      <x/>
    </i>
    <i>
      <x v="2"/>
    </i>
    <i>
      <x v="4"/>
    </i>
    <i>
      <x v="9"/>
    </i>
    <i>
      <x v="11"/>
    </i>
    <i t="grand">
      <x/>
    </i>
  </rowItems>
  <colItems count="1">
    <i/>
  </colItems>
  <dataFields count="1">
    <dataField name="Sum of Unit Cost (NGN)" fld="7" baseField="0" baseItem="0"/>
  </dataFields>
  <chartFormats count="6">
    <chartFormat chart="9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3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9" format="14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9" format="15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9" format="16">
      <pivotArea type="data" outline="0" fieldPosition="0">
        <references count="2">
          <reference field="4294967294" count="1" selected="0">
            <x v="0"/>
          </reference>
          <reference field="6" count="1" selected="0">
            <x v="9"/>
          </reference>
        </references>
      </pivotArea>
    </chartFormat>
    <chartFormat chart="9" format="17">
      <pivotArea type="data" outline="0" fieldPosition="0">
        <references count="2">
          <reference field="4294967294" count="1" selected="0">
            <x v="0"/>
          </reference>
          <reference field="6" count="1" selected="0">
            <x v="11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6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26D226-2FDE-44B0-8D79-01A21542DEF3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O1:O2" firstHeaderRow="1" firstDataRow="1" firstDataCol="0"/>
  <pivotFields count="10">
    <pivotField showAll="0"/>
    <pivotField showAll="0"/>
    <pivotField showAll="0"/>
    <pivotField dataField="1" showAll="0"/>
    <pivotField showAll="0"/>
    <pivotField numFmtId="14" showAll="0"/>
    <pivotField showAll="0"/>
    <pivotField showAll="0"/>
    <pivotField showAll="0"/>
    <pivotField showAll="0"/>
  </pivotFields>
  <rowItems count="1">
    <i/>
  </rowItems>
  <colItems count="1">
    <i/>
  </colItems>
  <dataFields count="1">
    <dataField name="Total Items Received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B64428E-F263-487E-98FF-DFCD6AD14C6A}" name="Receipt_Data" displayName="Receipt_Data" ref="H5:Q20" totalsRowShown="0">
  <autoFilter ref="H5:Q20" xr:uid="{FB64428E-F263-487E-98FF-DFCD6AD14C6A}"/>
  <tableColumns count="10">
    <tableColumn id="1" xr3:uid="{DA6458B5-D482-4B2A-A638-9F6499F70A2D}" name="Receipt ID"/>
    <tableColumn id="2" xr3:uid="{7A28F8A3-CA17-492E-9415-B26E232E97E3}" name="Item Name"/>
    <tableColumn id="3" xr3:uid="{C185ADD6-877C-4D75-9DBF-3B051C266C50}" name="Category"/>
    <tableColumn id="4" xr3:uid="{03220DAE-CF75-4EA4-84A1-9156924A6675}" name="Qty Received"/>
    <tableColumn id="5" xr3:uid="{8063D3F8-1EF9-425A-A628-1C1B9B6ED204}" name="Unit"/>
    <tableColumn id="6" xr3:uid="{D50D43F3-BB35-4B12-89FE-ADE01E0809A1}" name="Receipt Date" dataDxfId="0"/>
    <tableColumn id="7" xr3:uid="{0A8BE6CA-8E0C-4D20-8725-D60A46D3F26A}" name="Supplier"/>
    <tableColumn id="8" xr3:uid="{38C99388-FEDC-4D1F-AFCA-17A32AA59B80}" name="Unit Cost (NGN)"/>
    <tableColumn id="9" xr3:uid="{0FC792B1-8018-450B-AD0C-2F088E56EF1D}" name="Total Cost (NGN)"/>
    <tableColumn id="10" xr3:uid="{AF7B8B99-33AB-4215-852A-1C3DD65D6E76}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1ACAC7-7700-4C65-9ECF-196FF913CF8E}">
  <dimension ref="A1:Q28"/>
  <sheetViews>
    <sheetView tabSelected="1" workbookViewId="0">
      <selection sqref="A1:XFD1"/>
    </sheetView>
  </sheetViews>
  <sheetFormatPr defaultRowHeight="14.4" x14ac:dyDescent="0.3"/>
  <cols>
    <col min="1" max="1" width="20.33203125" bestFit="1" customWidth="1"/>
    <col min="2" max="2" width="18.88671875" bestFit="1" customWidth="1"/>
    <col min="3" max="3" width="21" bestFit="1" customWidth="1"/>
    <col min="4" max="4" width="16.21875" bestFit="1" customWidth="1"/>
    <col min="5" max="5" width="10.77734375" bestFit="1" customWidth="1"/>
    <col min="6" max="6" width="13.33203125" bestFit="1" customWidth="1"/>
    <col min="7" max="7" width="21" bestFit="1" customWidth="1"/>
    <col min="8" max="8" width="12.5546875" bestFit="1" customWidth="1"/>
    <col min="9" max="9" width="20.33203125" bestFit="1" customWidth="1"/>
    <col min="10" max="10" width="11.5546875" bestFit="1" customWidth="1"/>
    <col min="11" max="11" width="15.109375" bestFit="1" customWidth="1"/>
    <col min="12" max="12" width="7.44140625" bestFit="1" customWidth="1"/>
    <col min="13" max="13" width="14.6640625" bestFit="1" customWidth="1"/>
    <col min="14" max="14" width="12.5546875" bestFit="1" customWidth="1"/>
    <col min="15" max="15" width="18.88671875" bestFit="1" customWidth="1"/>
    <col min="16" max="16" width="18" bestFit="1" customWidth="1"/>
  </cols>
  <sheetData>
    <row r="1" spans="1:17" x14ac:dyDescent="0.3">
      <c r="A1" t="str" cm="1">
        <f t="array" ref="A1:A16">_xlfn.UNIQUE(I:I,FALSE,TRUE)</f>
        <v>Item Name</v>
      </c>
      <c r="B1" t="s">
        <v>0</v>
      </c>
      <c r="C1" t="s">
        <v>1</v>
      </c>
      <c r="D1" t="s">
        <v>2</v>
      </c>
      <c r="O1" s="3" t="s">
        <v>3</v>
      </c>
    </row>
    <row r="2" spans="1:17" x14ac:dyDescent="0.3">
      <c r="A2" t="str">
        <v>Meal Boxes (Small)</v>
      </c>
      <c r="B2">
        <f>_xlfn.XLOOKUP(A2,I:I,K:K,0)</f>
        <v>3000</v>
      </c>
      <c r="C2">
        <f>_xlfn.XLOOKUP(A2,[1]Issuance!B:B,[1]Issuance!D:D,0)</f>
        <v>800</v>
      </c>
      <c r="D2">
        <f t="shared" ref="D2:D16" si="0">B2-C2</f>
        <v>2200</v>
      </c>
      <c r="O2">
        <v>7730</v>
      </c>
    </row>
    <row r="3" spans="1:17" x14ac:dyDescent="0.3">
      <c r="A3" t="str">
        <v>Meal Boxes (Large)</v>
      </c>
      <c r="B3">
        <f t="shared" ref="B3:B16" si="1">_xlfn.XLOOKUP(A3,I:I,K:K,0)</f>
        <v>2000</v>
      </c>
      <c r="C3">
        <f>_xlfn.XLOOKUP(A3,[1]Issuance!B:B,[1]Issuance!D:D,0)</f>
        <v>600</v>
      </c>
      <c r="D3">
        <f t="shared" si="0"/>
        <v>1400</v>
      </c>
    </row>
    <row r="4" spans="1:17" x14ac:dyDescent="0.3">
      <c r="A4" t="str">
        <v>Napkins (Pack)</v>
      </c>
      <c r="B4">
        <f t="shared" si="1"/>
        <v>500</v>
      </c>
      <c r="C4">
        <f>_xlfn.XLOOKUP(A4,[1]Issuance!B:B,[1]Issuance!D:D,0)</f>
        <v>150</v>
      </c>
      <c r="D4">
        <f t="shared" si="0"/>
        <v>350</v>
      </c>
    </row>
    <row r="5" spans="1:17" x14ac:dyDescent="0.3">
      <c r="A5" t="str">
        <v>Whole Chicken (Frozen)</v>
      </c>
      <c r="B5">
        <f t="shared" si="1"/>
        <v>500</v>
      </c>
      <c r="C5">
        <f>_xlfn.XLOOKUP(A5,[1]Issuance!B:B,[1]Issuance!D:D,0)</f>
        <v>120</v>
      </c>
      <c r="D5">
        <f t="shared" si="0"/>
        <v>380</v>
      </c>
      <c r="H5" t="s">
        <v>4</v>
      </c>
      <c r="I5" t="s">
        <v>5</v>
      </c>
      <c r="J5" t="s">
        <v>6</v>
      </c>
      <c r="K5" t="s">
        <v>7</v>
      </c>
      <c r="L5" t="s">
        <v>8</v>
      </c>
      <c r="M5" t="s">
        <v>9</v>
      </c>
      <c r="N5" t="s">
        <v>10</v>
      </c>
      <c r="O5" t="s">
        <v>11</v>
      </c>
      <c r="P5" t="s">
        <v>12</v>
      </c>
      <c r="Q5" t="s">
        <v>13</v>
      </c>
    </row>
    <row r="6" spans="1:17" x14ac:dyDescent="0.3">
      <c r="A6" t="str">
        <v>Frying Flour</v>
      </c>
      <c r="B6">
        <f t="shared" si="1"/>
        <v>400</v>
      </c>
      <c r="C6">
        <f>_xlfn.XLOOKUP(A6,[1]Issuance!B:B,[1]Issuance!D:D,0)</f>
        <v>100</v>
      </c>
      <c r="D6">
        <f t="shared" si="0"/>
        <v>300</v>
      </c>
      <c r="H6" t="s">
        <v>14</v>
      </c>
      <c r="I6" t="s">
        <v>15</v>
      </c>
      <c r="J6" t="s">
        <v>16</v>
      </c>
      <c r="K6">
        <v>3000</v>
      </c>
      <c r="L6" t="s">
        <v>17</v>
      </c>
      <c r="M6" s="1">
        <v>45717</v>
      </c>
      <c r="N6" t="s">
        <v>18</v>
      </c>
      <c r="O6">
        <v>150</v>
      </c>
      <c r="P6">
        <v>450000</v>
      </c>
    </row>
    <row r="7" spans="1:17" x14ac:dyDescent="0.3">
      <c r="A7" t="str">
        <v>Chicken Breast</v>
      </c>
      <c r="B7">
        <f t="shared" si="1"/>
        <v>300</v>
      </c>
      <c r="C7">
        <f>_xlfn.XLOOKUP(A7,[1]Issuance!B:B,[1]Issuance!D:D,0)</f>
        <v>75</v>
      </c>
      <c r="D7">
        <f t="shared" si="0"/>
        <v>225</v>
      </c>
      <c r="H7" t="s">
        <v>19</v>
      </c>
      <c r="I7" t="s">
        <v>20</v>
      </c>
      <c r="J7" t="s">
        <v>16</v>
      </c>
      <c r="K7">
        <v>2000</v>
      </c>
      <c r="L7" t="s">
        <v>17</v>
      </c>
      <c r="M7" s="1">
        <v>45717</v>
      </c>
      <c r="N7" t="s">
        <v>18</v>
      </c>
      <c r="O7">
        <v>100</v>
      </c>
      <c r="P7">
        <v>200000</v>
      </c>
    </row>
    <row r="8" spans="1:17" x14ac:dyDescent="0.3">
      <c r="A8" t="str">
        <v>Chicken Wings</v>
      </c>
      <c r="B8">
        <f t="shared" si="1"/>
        <v>200</v>
      </c>
      <c r="C8">
        <f>_xlfn.XLOOKUP(A8,[1]Issuance!B:B,[1]Issuance!D:D,0)</f>
        <v>80</v>
      </c>
      <c r="D8">
        <f t="shared" si="0"/>
        <v>120</v>
      </c>
      <c r="H8" t="s">
        <v>21</v>
      </c>
      <c r="I8" t="s">
        <v>22</v>
      </c>
      <c r="J8" t="s">
        <v>23</v>
      </c>
      <c r="K8">
        <v>500</v>
      </c>
      <c r="L8" t="s">
        <v>24</v>
      </c>
      <c r="M8" s="1">
        <v>45718</v>
      </c>
      <c r="N8" t="s">
        <v>25</v>
      </c>
      <c r="O8">
        <v>250</v>
      </c>
      <c r="P8">
        <v>125000</v>
      </c>
    </row>
    <row r="9" spans="1:17" x14ac:dyDescent="0.3">
      <c r="A9" t="str">
        <v>Ice Blocks</v>
      </c>
      <c r="B9">
        <f t="shared" si="1"/>
        <v>200</v>
      </c>
      <c r="C9">
        <f>_xlfn.XLOOKUP(A9,[1]Issuance!B:B,[1]Issuance!D:D,0)</f>
        <v>50</v>
      </c>
      <c r="D9">
        <f t="shared" si="0"/>
        <v>150</v>
      </c>
      <c r="H9" t="s">
        <v>26</v>
      </c>
      <c r="I9" t="s">
        <v>27</v>
      </c>
      <c r="J9" t="s">
        <v>28</v>
      </c>
      <c r="K9">
        <v>500</v>
      </c>
      <c r="L9" t="s">
        <v>29</v>
      </c>
      <c r="M9" s="1">
        <v>45718</v>
      </c>
      <c r="N9" t="s">
        <v>30</v>
      </c>
      <c r="O9">
        <v>1200</v>
      </c>
      <c r="P9">
        <v>600000</v>
      </c>
    </row>
    <row r="10" spans="1:17" x14ac:dyDescent="0.3">
      <c r="A10" t="str">
        <v>Frying Oil (Palm)</v>
      </c>
      <c r="B10">
        <f t="shared" si="1"/>
        <v>150</v>
      </c>
      <c r="C10">
        <f>_xlfn.XLOOKUP(A10,[1]Issuance!B:B,[1]Issuance!D:D,0)</f>
        <v>40</v>
      </c>
      <c r="D10">
        <f t="shared" si="0"/>
        <v>110</v>
      </c>
      <c r="H10" t="s">
        <v>31</v>
      </c>
      <c r="I10" t="s">
        <v>32</v>
      </c>
      <c r="J10" t="s">
        <v>33</v>
      </c>
      <c r="K10">
        <v>400</v>
      </c>
      <c r="L10" t="s">
        <v>29</v>
      </c>
      <c r="M10" s="1">
        <v>45719</v>
      </c>
      <c r="N10" t="s">
        <v>34</v>
      </c>
      <c r="O10">
        <v>800</v>
      </c>
      <c r="P10">
        <v>320000</v>
      </c>
    </row>
    <row r="11" spans="1:17" x14ac:dyDescent="0.3">
      <c r="A11" t="str">
        <v>Coleslaw Cabbage</v>
      </c>
      <c r="B11">
        <f t="shared" si="1"/>
        <v>120</v>
      </c>
      <c r="C11">
        <f>_xlfn.XLOOKUP(A11,[1]Issuance!B:B,[1]Issuance!D:D,0)</f>
        <v>30</v>
      </c>
      <c r="D11">
        <f t="shared" si="0"/>
        <v>90</v>
      </c>
      <c r="H11" t="s">
        <v>35</v>
      </c>
      <c r="I11" t="s">
        <v>36</v>
      </c>
      <c r="J11" t="s">
        <v>28</v>
      </c>
      <c r="K11">
        <v>300</v>
      </c>
      <c r="L11" t="s">
        <v>29</v>
      </c>
      <c r="M11" s="1">
        <v>45719</v>
      </c>
      <c r="N11" t="s">
        <v>30</v>
      </c>
      <c r="O11">
        <v>1800</v>
      </c>
      <c r="P11">
        <v>540000</v>
      </c>
    </row>
    <row r="12" spans="1:17" x14ac:dyDescent="0.3">
      <c r="A12" t="str">
        <v>Soft Drinks (Crate)</v>
      </c>
      <c r="B12">
        <f t="shared" si="1"/>
        <v>100</v>
      </c>
      <c r="C12">
        <f>_xlfn.XLOOKUP(A12,[1]Issuance!B:B,[1]Issuance!D:D,0)</f>
        <v>20</v>
      </c>
      <c r="D12">
        <f t="shared" si="0"/>
        <v>80</v>
      </c>
      <c r="H12" t="s">
        <v>37</v>
      </c>
      <c r="I12" t="s">
        <v>38</v>
      </c>
      <c r="J12" t="s">
        <v>28</v>
      </c>
      <c r="K12">
        <v>200</v>
      </c>
      <c r="L12" t="s">
        <v>29</v>
      </c>
      <c r="M12" s="1">
        <v>45720</v>
      </c>
      <c r="N12" t="s">
        <v>39</v>
      </c>
      <c r="O12">
        <v>1500</v>
      </c>
      <c r="P12">
        <v>300000</v>
      </c>
    </row>
    <row r="13" spans="1:17" x14ac:dyDescent="0.3">
      <c r="A13" t="str">
        <v>Seasoning Mix A</v>
      </c>
      <c r="B13">
        <f t="shared" si="1"/>
        <v>80</v>
      </c>
      <c r="C13">
        <f>_xlfn.XLOOKUP(A13,[1]Issuance!B:B,[1]Issuance!D:D,0)</f>
        <v>20</v>
      </c>
      <c r="D13">
        <f t="shared" si="0"/>
        <v>60</v>
      </c>
      <c r="H13" t="s">
        <v>40</v>
      </c>
      <c r="I13" t="s">
        <v>41</v>
      </c>
      <c r="J13" t="s">
        <v>23</v>
      </c>
      <c r="K13">
        <v>200</v>
      </c>
      <c r="L13" t="s">
        <v>42</v>
      </c>
      <c r="M13" s="1">
        <v>45720</v>
      </c>
      <c r="N13" t="s">
        <v>43</v>
      </c>
      <c r="O13">
        <v>500</v>
      </c>
      <c r="P13">
        <v>100000</v>
      </c>
    </row>
    <row r="14" spans="1:17" x14ac:dyDescent="0.3">
      <c r="A14" t="str">
        <v>Pepper (Ground)</v>
      </c>
      <c r="B14">
        <f t="shared" si="1"/>
        <v>60</v>
      </c>
      <c r="C14">
        <f>_xlfn.XLOOKUP(A14,[1]Issuance!B:B,[1]Issuance!D:D,0)</f>
        <v>15</v>
      </c>
      <c r="D14">
        <f t="shared" si="0"/>
        <v>45</v>
      </c>
      <c r="H14" t="s">
        <v>44</v>
      </c>
      <c r="I14" t="s">
        <v>45</v>
      </c>
      <c r="J14" t="s">
        <v>46</v>
      </c>
      <c r="K14">
        <v>150</v>
      </c>
      <c r="L14" t="s">
        <v>47</v>
      </c>
      <c r="M14" s="1">
        <v>45721</v>
      </c>
      <c r="N14" t="s">
        <v>48</v>
      </c>
      <c r="O14">
        <v>900</v>
      </c>
      <c r="P14">
        <v>135000</v>
      </c>
    </row>
    <row r="15" spans="1:17" x14ac:dyDescent="0.3">
      <c r="A15" t="str">
        <v>Hot Sauce</v>
      </c>
      <c r="B15">
        <f t="shared" si="1"/>
        <v>90</v>
      </c>
      <c r="C15">
        <f>_xlfn.XLOOKUP(A15,[1]Issuance!B:B,[1]Issuance!D:D,0)</f>
        <v>25</v>
      </c>
      <c r="D15">
        <f t="shared" si="0"/>
        <v>65</v>
      </c>
      <c r="H15" t="s">
        <v>49</v>
      </c>
      <c r="I15" t="s">
        <v>50</v>
      </c>
      <c r="J15" t="s">
        <v>51</v>
      </c>
      <c r="K15">
        <v>120</v>
      </c>
      <c r="L15" t="s">
        <v>29</v>
      </c>
      <c r="M15" s="1">
        <v>45721</v>
      </c>
      <c r="N15" t="s">
        <v>52</v>
      </c>
      <c r="O15">
        <v>400</v>
      </c>
      <c r="P15">
        <v>48000</v>
      </c>
    </row>
    <row r="16" spans="1:17" x14ac:dyDescent="0.3">
      <c r="A16" t="str">
        <v>LPG Gas Cylinder</v>
      </c>
      <c r="B16">
        <f t="shared" si="1"/>
        <v>30</v>
      </c>
      <c r="C16">
        <f>_xlfn.XLOOKUP(A16,[1]Issuance!B:B,[1]Issuance!D:D,0)</f>
        <v>8</v>
      </c>
      <c r="D16">
        <f t="shared" si="0"/>
        <v>22</v>
      </c>
      <c r="H16" t="s">
        <v>53</v>
      </c>
      <c r="I16" t="s">
        <v>54</v>
      </c>
      <c r="J16" t="s">
        <v>55</v>
      </c>
      <c r="K16">
        <v>100</v>
      </c>
      <c r="L16" t="s">
        <v>56</v>
      </c>
      <c r="M16" s="1">
        <v>45722</v>
      </c>
      <c r="N16" t="s">
        <v>57</v>
      </c>
      <c r="O16">
        <v>4500</v>
      </c>
      <c r="P16">
        <v>450000</v>
      </c>
    </row>
    <row r="17" spans="1:16" x14ac:dyDescent="0.3">
      <c r="A17" s="3" t="s">
        <v>58</v>
      </c>
      <c r="B17" s="3" t="s">
        <v>59</v>
      </c>
      <c r="C17" t="s">
        <v>60</v>
      </c>
      <c r="H17" t="s">
        <v>61</v>
      </c>
      <c r="I17" t="s">
        <v>62</v>
      </c>
      <c r="J17" t="s">
        <v>63</v>
      </c>
      <c r="K17">
        <v>80</v>
      </c>
      <c r="L17" t="s">
        <v>29</v>
      </c>
      <c r="M17" s="1">
        <v>45722</v>
      </c>
      <c r="N17" t="s">
        <v>64</v>
      </c>
      <c r="O17">
        <v>2500</v>
      </c>
      <c r="P17">
        <v>200000</v>
      </c>
    </row>
    <row r="18" spans="1:16" x14ac:dyDescent="0.3">
      <c r="A18" s="2" t="s">
        <v>36</v>
      </c>
      <c r="B18">
        <v>300</v>
      </c>
      <c r="C18">
        <v>1800</v>
      </c>
      <c r="F18" s="3" t="s">
        <v>58</v>
      </c>
      <c r="G18" t="s">
        <v>60</v>
      </c>
      <c r="H18" t="s">
        <v>65</v>
      </c>
      <c r="I18" t="s">
        <v>66</v>
      </c>
      <c r="J18" t="s">
        <v>63</v>
      </c>
      <c r="K18">
        <v>60</v>
      </c>
      <c r="L18" t="s">
        <v>29</v>
      </c>
      <c r="M18" s="1">
        <v>45723</v>
      </c>
      <c r="N18" t="s">
        <v>64</v>
      </c>
      <c r="O18">
        <v>3000</v>
      </c>
      <c r="P18">
        <v>180000</v>
      </c>
    </row>
    <row r="19" spans="1:16" x14ac:dyDescent="0.3">
      <c r="A19" s="2" t="s">
        <v>38</v>
      </c>
      <c r="B19">
        <v>200</v>
      </c>
      <c r="C19">
        <v>1500</v>
      </c>
      <c r="F19" s="2" t="s">
        <v>57</v>
      </c>
      <c r="G19">
        <v>4500</v>
      </c>
      <c r="H19" t="s">
        <v>67</v>
      </c>
      <c r="I19" t="s">
        <v>68</v>
      </c>
      <c r="J19" t="s">
        <v>69</v>
      </c>
      <c r="K19">
        <v>90</v>
      </c>
      <c r="L19" t="s">
        <v>47</v>
      </c>
      <c r="M19" s="1">
        <v>45723</v>
      </c>
      <c r="N19" t="s">
        <v>70</v>
      </c>
      <c r="O19">
        <v>1200</v>
      </c>
      <c r="P19">
        <v>108000</v>
      </c>
    </row>
    <row r="20" spans="1:16" x14ac:dyDescent="0.3">
      <c r="A20" s="2" t="s">
        <v>50</v>
      </c>
      <c r="B20">
        <v>120</v>
      </c>
      <c r="C20">
        <v>400</v>
      </c>
      <c r="F20" s="2" t="s">
        <v>30</v>
      </c>
      <c r="G20">
        <v>3000</v>
      </c>
      <c r="H20" t="s">
        <v>71</v>
      </c>
      <c r="I20" t="s">
        <v>72</v>
      </c>
      <c r="J20" t="s">
        <v>73</v>
      </c>
      <c r="K20">
        <v>30</v>
      </c>
      <c r="L20" t="s">
        <v>74</v>
      </c>
      <c r="M20" s="1">
        <v>45724</v>
      </c>
      <c r="N20" t="s">
        <v>75</v>
      </c>
      <c r="O20">
        <v>8000</v>
      </c>
      <c r="P20">
        <v>240000</v>
      </c>
    </row>
    <row r="21" spans="1:16" x14ac:dyDescent="0.3">
      <c r="A21" s="2" t="s">
        <v>32</v>
      </c>
      <c r="B21">
        <v>400</v>
      </c>
      <c r="C21">
        <v>800</v>
      </c>
      <c r="F21" s="2" t="s">
        <v>75</v>
      </c>
      <c r="G21">
        <v>8000</v>
      </c>
    </row>
    <row r="22" spans="1:16" x14ac:dyDescent="0.3">
      <c r="A22" s="2" t="s">
        <v>45</v>
      </c>
      <c r="B22">
        <v>150</v>
      </c>
      <c r="C22">
        <v>900</v>
      </c>
      <c r="F22" s="2" t="s">
        <v>39</v>
      </c>
      <c r="G22">
        <v>1500</v>
      </c>
    </row>
    <row r="23" spans="1:16" x14ac:dyDescent="0.3">
      <c r="A23" s="2" t="s">
        <v>41</v>
      </c>
      <c r="B23">
        <v>200</v>
      </c>
      <c r="C23">
        <v>500</v>
      </c>
      <c r="F23" s="2" t="s">
        <v>64</v>
      </c>
      <c r="G23">
        <v>5500</v>
      </c>
    </row>
    <row r="24" spans="1:16" x14ac:dyDescent="0.3">
      <c r="A24" s="2" t="s">
        <v>20</v>
      </c>
      <c r="B24">
        <v>2000</v>
      </c>
      <c r="C24">
        <v>100</v>
      </c>
      <c r="F24" s="2" t="s">
        <v>76</v>
      </c>
      <c r="G24">
        <v>22500</v>
      </c>
    </row>
    <row r="25" spans="1:16" x14ac:dyDescent="0.3">
      <c r="A25" s="2" t="s">
        <v>15</v>
      </c>
      <c r="B25">
        <v>3000</v>
      </c>
      <c r="C25">
        <v>150</v>
      </c>
    </row>
    <row r="26" spans="1:16" x14ac:dyDescent="0.3">
      <c r="A26" s="2" t="s">
        <v>22</v>
      </c>
      <c r="B26">
        <v>500</v>
      </c>
      <c r="C26">
        <v>250</v>
      </c>
    </row>
    <row r="27" spans="1:16" x14ac:dyDescent="0.3">
      <c r="A27" s="2" t="s">
        <v>27</v>
      </c>
      <c r="B27">
        <v>500</v>
      </c>
      <c r="C27">
        <v>1200</v>
      </c>
    </row>
    <row r="28" spans="1:16" x14ac:dyDescent="0.3">
      <c r="A28" s="2" t="s">
        <v>76</v>
      </c>
      <c r="B28">
        <v>7370</v>
      </c>
      <c r="C28">
        <v>7600</v>
      </c>
    </row>
  </sheetData>
  <pageMargins left="0.7" right="0.7" top="0.75" bottom="0.75" header="0.3" footer="0.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Geordie Cipher</dc:creator>
  <cp:lastModifiedBy>Geordie Cipher</cp:lastModifiedBy>
  <dcterms:created xsi:type="dcterms:W3CDTF">2026-05-23T19:55:08Z</dcterms:created>
  <dcterms:modified xsi:type="dcterms:W3CDTF">2026-05-23T19:56:05Z</dcterms:modified>
</cp:coreProperties>
</file>